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lo/Documents/Projects/biol696/collins_mallory_biol696_workflows/final_project/"/>
    </mc:Choice>
  </mc:AlternateContent>
  <xr:revisionPtr revIDLastSave="0" documentId="13_ncr:1_{FEC1064C-05B7-9F48-B0A9-53DC5E383B52}" xr6:coauthVersionLast="47" xr6:coauthVersionMax="47" xr10:uidLastSave="{00000000-0000-0000-0000-000000000000}"/>
  <bookViews>
    <workbookView xWindow="0" yWindow="620" windowWidth="28800" windowHeight="16100" xr2:uid="{F461D164-D39E-5F43-8C81-7877C5AB1617}"/>
  </bookViews>
  <sheets>
    <sheet name="CFU" sheetId="1" r:id="rId1"/>
    <sheet name="Graph" sheetId="2" r:id="rId2"/>
    <sheet name="Stats" sheetId="4" r:id="rId3"/>
    <sheet name="Raw Dat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U28" i="1" l="1"/>
  <c r="G29" i="1"/>
  <c r="H29" i="1" s="1"/>
  <c r="L29" i="1"/>
  <c r="Q29" i="1"/>
  <c r="S29" i="1" s="1"/>
  <c r="T29" i="1" s="1"/>
  <c r="V29" i="1"/>
  <c r="AA29" i="1"/>
  <c r="AB29" i="1" s="1"/>
  <c r="AF29" i="1"/>
  <c r="AK29" i="1"/>
  <c r="AL29" i="1" s="1"/>
  <c r="G30" i="1"/>
  <c r="H30" i="1" s="1"/>
  <c r="Q30" i="1"/>
  <c r="S30" i="1" s="1"/>
  <c r="T30" i="1" s="1"/>
  <c r="AA30" i="1"/>
  <c r="AB30" i="1" s="1"/>
  <c r="AK30" i="1"/>
  <c r="AM30" i="1" s="1"/>
  <c r="AN30" i="1" s="1"/>
  <c r="G31" i="1"/>
  <c r="H31" i="1" s="1"/>
  <c r="Q31" i="1"/>
  <c r="R31" i="1" s="1"/>
  <c r="AA31" i="1"/>
  <c r="AB31" i="1" s="1"/>
  <c r="AK31" i="1"/>
  <c r="AL31" i="1" s="1"/>
  <c r="G32" i="1"/>
  <c r="H32" i="1" s="1"/>
  <c r="Q32" i="1"/>
  <c r="S32" i="1" s="1"/>
  <c r="AA32" i="1"/>
  <c r="AC32" i="1" s="1"/>
  <c r="AK32" i="1"/>
  <c r="AL32" i="1" s="1"/>
  <c r="G33" i="1"/>
  <c r="H33" i="1" s="1"/>
  <c r="Q33" i="1"/>
  <c r="S33" i="1" s="1"/>
  <c r="AA33" i="1"/>
  <c r="AC33" i="1" s="1"/>
  <c r="AK33" i="1"/>
  <c r="AL33" i="1" s="1"/>
  <c r="G34" i="1"/>
  <c r="H34" i="1" s="1"/>
  <c r="Q34" i="1"/>
  <c r="R34" i="1" s="1"/>
  <c r="AA34" i="1"/>
  <c r="AB34" i="1" s="1"/>
  <c r="AK34" i="1"/>
  <c r="AL34" i="1" s="1"/>
  <c r="G35" i="1"/>
  <c r="I35" i="1" s="1"/>
  <c r="J35" i="1" s="1"/>
  <c r="Q35" i="1"/>
  <c r="R35" i="1" s="1"/>
  <c r="AA35" i="1"/>
  <c r="AC35" i="1" s="1"/>
  <c r="AD35" i="1" s="1"/>
  <c r="AK35" i="1"/>
  <c r="AL35" i="1" s="1"/>
  <c r="G36" i="1"/>
  <c r="I36" i="1" s="1"/>
  <c r="Q36" i="1"/>
  <c r="S36" i="1" s="1"/>
  <c r="AA36" i="1"/>
  <c r="AC36" i="1" s="1"/>
  <c r="AB36" i="1"/>
  <c r="AK36" i="1"/>
  <c r="AL36" i="1" s="1"/>
  <c r="G37" i="1"/>
  <c r="H37" i="1" s="1"/>
  <c r="Q37" i="1"/>
  <c r="R37" i="1" s="1"/>
  <c r="AA37" i="1"/>
  <c r="AB37" i="1" s="1"/>
  <c r="AK37" i="1"/>
  <c r="AL37" i="1" s="1"/>
  <c r="AM37" i="1"/>
  <c r="AN37" i="1" s="1"/>
  <c r="Q51" i="1"/>
  <c r="S51" i="1" s="1"/>
  <c r="AK77" i="1"/>
  <c r="AM77" i="1" s="1"/>
  <c r="AN77" i="1" s="1"/>
  <c r="AA77" i="1"/>
  <c r="AC77" i="1" s="1"/>
  <c r="AD77" i="1" s="1"/>
  <c r="Q77" i="1"/>
  <c r="S77" i="1" s="1"/>
  <c r="T77" i="1" s="1"/>
  <c r="G77" i="1"/>
  <c r="I77" i="1" s="1"/>
  <c r="J77" i="1" s="1"/>
  <c r="AK76" i="1"/>
  <c r="AM76" i="1" s="1"/>
  <c r="AA76" i="1"/>
  <c r="AC76" i="1" s="1"/>
  <c r="Q76" i="1"/>
  <c r="S76" i="1" s="1"/>
  <c r="G76" i="1"/>
  <c r="I76" i="1" s="1"/>
  <c r="J76" i="1" s="1"/>
  <c r="AK75" i="1"/>
  <c r="AM75" i="1" s="1"/>
  <c r="AN75" i="1" s="1"/>
  <c r="AA75" i="1"/>
  <c r="AC75" i="1" s="1"/>
  <c r="AD75" i="1" s="1"/>
  <c r="Q75" i="1"/>
  <c r="S75" i="1" s="1"/>
  <c r="T75" i="1" s="1"/>
  <c r="G75" i="1"/>
  <c r="H75" i="1" s="1"/>
  <c r="AK74" i="1"/>
  <c r="AL74" i="1" s="1"/>
  <c r="AA74" i="1"/>
  <c r="AC74" i="1" s="1"/>
  <c r="AD74" i="1" s="1"/>
  <c r="Q74" i="1"/>
  <c r="R74" i="1" s="1"/>
  <c r="G74" i="1"/>
  <c r="I74" i="1" s="1"/>
  <c r="J74" i="1" s="1"/>
  <c r="AK73" i="1"/>
  <c r="AM73" i="1" s="1"/>
  <c r="AN73" i="1" s="1"/>
  <c r="AA73" i="1"/>
  <c r="AC73" i="1" s="1"/>
  <c r="AD73" i="1" s="1"/>
  <c r="Q73" i="1"/>
  <c r="S73" i="1" s="1"/>
  <c r="T73" i="1" s="1"/>
  <c r="G73" i="1"/>
  <c r="I73" i="1" s="1"/>
  <c r="J73" i="1" s="1"/>
  <c r="AK72" i="1"/>
  <c r="AL72" i="1" s="1"/>
  <c r="AA72" i="1"/>
  <c r="AC72" i="1" s="1"/>
  <c r="AD72" i="1" s="1"/>
  <c r="Q72" i="1"/>
  <c r="R72" i="1" s="1"/>
  <c r="G72" i="1"/>
  <c r="H72" i="1" s="1"/>
  <c r="AK71" i="1"/>
  <c r="AM71" i="1" s="1"/>
  <c r="AN71" i="1" s="1"/>
  <c r="AA71" i="1"/>
  <c r="AC71" i="1" s="1"/>
  <c r="AD71" i="1" s="1"/>
  <c r="Q71" i="1"/>
  <c r="S71" i="1" s="1"/>
  <c r="T71" i="1" s="1"/>
  <c r="G71" i="1"/>
  <c r="I71" i="1" s="1"/>
  <c r="J71" i="1" s="1"/>
  <c r="AK70" i="1"/>
  <c r="AM70" i="1" s="1"/>
  <c r="AA70" i="1"/>
  <c r="AC70" i="1" s="1"/>
  <c r="Q70" i="1"/>
  <c r="S70" i="1" s="1"/>
  <c r="G70" i="1"/>
  <c r="I70" i="1" s="1"/>
  <c r="AK69" i="1"/>
  <c r="AM69" i="1" s="1"/>
  <c r="AN69" i="1" s="1"/>
  <c r="AF69" i="1"/>
  <c r="AA69" i="1"/>
  <c r="AC69" i="1" s="1"/>
  <c r="AD69" i="1" s="1"/>
  <c r="V69" i="1"/>
  <c r="Q69" i="1"/>
  <c r="S69" i="1" s="1"/>
  <c r="L69" i="1"/>
  <c r="G69" i="1"/>
  <c r="I69" i="1" s="1"/>
  <c r="AU68" i="1"/>
  <c r="AK64" i="1"/>
  <c r="AM64" i="1" s="1"/>
  <c r="AA64" i="1"/>
  <c r="AC64" i="1" s="1"/>
  <c r="Q64" i="1"/>
  <c r="R64" i="1" s="1"/>
  <c r="G64" i="1"/>
  <c r="I64" i="1" s="1"/>
  <c r="J64" i="1" s="1"/>
  <c r="AK63" i="1"/>
  <c r="AM63" i="1" s="1"/>
  <c r="AN63" i="1" s="1"/>
  <c r="AA63" i="1"/>
  <c r="AB63" i="1" s="1"/>
  <c r="Q63" i="1"/>
  <c r="R63" i="1" s="1"/>
  <c r="G63" i="1"/>
  <c r="I63" i="1" s="1"/>
  <c r="J63" i="1" s="1"/>
  <c r="AK62" i="1"/>
  <c r="AM62" i="1" s="1"/>
  <c r="AN62" i="1" s="1"/>
  <c r="AA62" i="1"/>
  <c r="AC62" i="1" s="1"/>
  <c r="AD62" i="1" s="1"/>
  <c r="Q62" i="1"/>
  <c r="R62" i="1" s="1"/>
  <c r="G62" i="1"/>
  <c r="I62" i="1" s="1"/>
  <c r="AK61" i="1"/>
  <c r="AM61" i="1" s="1"/>
  <c r="AN61" i="1" s="1"/>
  <c r="AA61" i="1"/>
  <c r="AB61" i="1" s="1"/>
  <c r="Q61" i="1"/>
  <c r="S61" i="1" s="1"/>
  <c r="T61" i="1" s="1"/>
  <c r="G61" i="1"/>
  <c r="H61" i="1" s="1"/>
  <c r="AK60" i="1"/>
  <c r="AL60" i="1" s="1"/>
  <c r="AA60" i="1"/>
  <c r="AC60" i="1" s="1"/>
  <c r="Q60" i="1"/>
  <c r="S60" i="1" s="1"/>
  <c r="G60" i="1"/>
  <c r="I60" i="1" s="1"/>
  <c r="J60" i="1" s="1"/>
  <c r="AK59" i="1"/>
  <c r="AL59" i="1" s="1"/>
  <c r="AA59" i="1"/>
  <c r="AC59" i="1" s="1"/>
  <c r="AD59" i="1" s="1"/>
  <c r="Q59" i="1"/>
  <c r="R59" i="1" s="1"/>
  <c r="G59" i="1"/>
  <c r="H59" i="1" s="1"/>
  <c r="AK58" i="1"/>
  <c r="AL58" i="1" s="1"/>
  <c r="AA58" i="1"/>
  <c r="AC58" i="1" s="1"/>
  <c r="AD58" i="1" s="1"/>
  <c r="Q58" i="1"/>
  <c r="R58" i="1" s="1"/>
  <c r="G58" i="1"/>
  <c r="I58" i="1" s="1"/>
  <c r="AK57" i="1"/>
  <c r="AM57" i="1" s="1"/>
  <c r="AN57" i="1" s="1"/>
  <c r="AA57" i="1"/>
  <c r="AC57" i="1" s="1"/>
  <c r="AD57" i="1" s="1"/>
  <c r="Q57" i="1"/>
  <c r="R57" i="1" s="1"/>
  <c r="G57" i="1"/>
  <c r="I57" i="1" s="1"/>
  <c r="J57" i="1" s="1"/>
  <c r="AK56" i="1"/>
  <c r="AL56" i="1" s="1"/>
  <c r="AF56" i="1"/>
  <c r="AA56" i="1"/>
  <c r="AB56" i="1" s="1"/>
  <c r="V56" i="1"/>
  <c r="Q56" i="1"/>
  <c r="S56" i="1" s="1"/>
  <c r="T56" i="1" s="1"/>
  <c r="L56" i="1"/>
  <c r="G56" i="1"/>
  <c r="H56" i="1" s="1"/>
  <c r="AU55" i="1"/>
  <c r="AK51" i="1"/>
  <c r="AL51" i="1" s="1"/>
  <c r="AA51" i="1"/>
  <c r="AB51" i="1" s="1"/>
  <c r="G51" i="1"/>
  <c r="H51" i="1" s="1"/>
  <c r="AK50" i="1"/>
  <c r="AM50" i="1" s="1"/>
  <c r="AA50" i="1"/>
  <c r="AC50" i="1" s="1"/>
  <c r="Q50" i="1"/>
  <c r="S50" i="1" s="1"/>
  <c r="G50" i="1"/>
  <c r="H50" i="1" s="1"/>
  <c r="AK49" i="1"/>
  <c r="AL49" i="1" s="1"/>
  <c r="AA49" i="1"/>
  <c r="AB49" i="1" s="1"/>
  <c r="Q49" i="1"/>
  <c r="S49" i="1" s="1"/>
  <c r="T49" i="1" s="1"/>
  <c r="G49" i="1"/>
  <c r="I49" i="1" s="1"/>
  <c r="J49" i="1" s="1"/>
  <c r="AK48" i="1"/>
  <c r="AM48" i="1" s="1"/>
  <c r="AN48" i="1" s="1"/>
  <c r="AA48" i="1"/>
  <c r="AC48" i="1" s="1"/>
  <c r="AD48" i="1" s="1"/>
  <c r="Q48" i="1"/>
  <c r="S48" i="1" s="1"/>
  <c r="T48" i="1" s="1"/>
  <c r="G48" i="1"/>
  <c r="I48" i="1" s="1"/>
  <c r="J48" i="1" s="1"/>
  <c r="AK47" i="1"/>
  <c r="AL47" i="1" s="1"/>
  <c r="AA47" i="1"/>
  <c r="AB47" i="1" s="1"/>
  <c r="Q47" i="1"/>
  <c r="S47" i="1" s="1"/>
  <c r="G47" i="1"/>
  <c r="H47" i="1" s="1"/>
  <c r="AK46" i="1"/>
  <c r="AM46" i="1" s="1"/>
  <c r="AN46" i="1" s="1"/>
  <c r="AA46" i="1"/>
  <c r="AB46" i="1" s="1"/>
  <c r="Q46" i="1"/>
  <c r="R46" i="1" s="1"/>
  <c r="G46" i="1"/>
  <c r="H46" i="1" s="1"/>
  <c r="AK45" i="1"/>
  <c r="AM45" i="1" s="1"/>
  <c r="AN45" i="1" s="1"/>
  <c r="AA45" i="1"/>
  <c r="AC45" i="1" s="1"/>
  <c r="AD45" i="1" s="1"/>
  <c r="Q45" i="1"/>
  <c r="S45" i="1" s="1"/>
  <c r="T45" i="1" s="1"/>
  <c r="G45" i="1"/>
  <c r="I45" i="1" s="1"/>
  <c r="J45" i="1" s="1"/>
  <c r="AK44" i="1"/>
  <c r="AM44" i="1" s="1"/>
  <c r="AN44" i="1" s="1"/>
  <c r="AA44" i="1"/>
  <c r="AB44" i="1" s="1"/>
  <c r="Q44" i="1"/>
  <c r="S44" i="1" s="1"/>
  <c r="T44" i="1" s="1"/>
  <c r="G44" i="1"/>
  <c r="H44" i="1" s="1"/>
  <c r="AK43" i="1"/>
  <c r="AL43" i="1" s="1"/>
  <c r="AF43" i="1"/>
  <c r="AA43" i="1"/>
  <c r="AC43" i="1" s="1"/>
  <c r="AD43" i="1" s="1"/>
  <c r="V43" i="1"/>
  <c r="Q43" i="1"/>
  <c r="S43" i="1" s="1"/>
  <c r="T43" i="1" s="1"/>
  <c r="L43" i="1"/>
  <c r="G43" i="1"/>
  <c r="H43" i="1" s="1"/>
  <c r="AU42" i="1"/>
  <c r="AK25" i="1"/>
  <c r="AM25" i="1" s="1"/>
  <c r="AA25" i="1"/>
  <c r="AB25" i="1" s="1"/>
  <c r="Q25" i="1"/>
  <c r="R25" i="1" s="1"/>
  <c r="G25" i="1"/>
  <c r="H25" i="1" s="1"/>
  <c r="AK24" i="1"/>
  <c r="AL24" i="1" s="1"/>
  <c r="AA24" i="1"/>
  <c r="AC24" i="1" s="1"/>
  <c r="Q24" i="1"/>
  <c r="R24" i="1" s="1"/>
  <c r="G24" i="1"/>
  <c r="H24" i="1" s="1"/>
  <c r="AK23" i="1"/>
  <c r="AL23" i="1" s="1"/>
  <c r="AA23" i="1"/>
  <c r="AB23" i="1" s="1"/>
  <c r="Q23" i="1"/>
  <c r="S23" i="1" s="1"/>
  <c r="T23" i="1" s="1"/>
  <c r="G23" i="1"/>
  <c r="H23" i="1" s="1"/>
  <c r="AK22" i="1"/>
  <c r="AM22" i="1" s="1"/>
  <c r="AN22" i="1" s="1"/>
  <c r="AA22" i="1"/>
  <c r="AB22" i="1" s="1"/>
  <c r="Q22" i="1"/>
  <c r="S22" i="1" s="1"/>
  <c r="T22" i="1" s="1"/>
  <c r="G22" i="1"/>
  <c r="H22" i="1" s="1"/>
  <c r="AK21" i="1"/>
  <c r="AM21" i="1" s="1"/>
  <c r="AA21" i="1"/>
  <c r="AB21" i="1" s="1"/>
  <c r="Q21" i="1"/>
  <c r="R21" i="1" s="1"/>
  <c r="G21" i="1"/>
  <c r="H21" i="1" s="1"/>
  <c r="AK20" i="1"/>
  <c r="AL20" i="1" s="1"/>
  <c r="AA20" i="1"/>
  <c r="AB20" i="1" s="1"/>
  <c r="Q20" i="1"/>
  <c r="R20" i="1" s="1"/>
  <c r="G20" i="1"/>
  <c r="I20" i="1" s="1"/>
  <c r="J20" i="1" s="1"/>
  <c r="AK19" i="1"/>
  <c r="AM19" i="1" s="1"/>
  <c r="AN19" i="1" s="1"/>
  <c r="AA19" i="1"/>
  <c r="AC19" i="1" s="1"/>
  <c r="AD19" i="1" s="1"/>
  <c r="Q19" i="1"/>
  <c r="R19" i="1" s="1"/>
  <c r="G19" i="1"/>
  <c r="I19" i="1" s="1"/>
  <c r="J19" i="1" s="1"/>
  <c r="AK18" i="1"/>
  <c r="AL18" i="1" s="1"/>
  <c r="AA18" i="1"/>
  <c r="AB18" i="1" s="1"/>
  <c r="Q18" i="1"/>
  <c r="R18" i="1" s="1"/>
  <c r="G18" i="1"/>
  <c r="I18" i="1" s="1"/>
  <c r="AK17" i="1"/>
  <c r="AL17" i="1" s="1"/>
  <c r="AF17" i="1"/>
  <c r="AA17" i="1"/>
  <c r="AC17" i="1" s="1"/>
  <c r="AD17" i="1" s="1"/>
  <c r="V17" i="1"/>
  <c r="Q17" i="1"/>
  <c r="S17" i="1" s="1"/>
  <c r="T17" i="1" s="1"/>
  <c r="L17" i="1"/>
  <c r="G17" i="1"/>
  <c r="I17" i="1" s="1"/>
  <c r="J17" i="1" s="1"/>
  <c r="AU16" i="1"/>
  <c r="Q65" i="3"/>
  <c r="Q53" i="3"/>
  <c r="Q28" i="3"/>
  <c r="Q16" i="3"/>
  <c r="I16" i="3"/>
  <c r="I65" i="3"/>
  <c r="I53" i="3"/>
  <c r="I28" i="3"/>
  <c r="I4" i="3"/>
  <c r="R32" i="1" l="1"/>
  <c r="AB33" i="1"/>
  <c r="AB35" i="1"/>
  <c r="AM31" i="1"/>
  <c r="AN31" i="1" s="1"/>
  <c r="AM35" i="1"/>
  <c r="AN35" i="1" s="1"/>
  <c r="S31" i="1"/>
  <c r="T31" i="1" s="1"/>
  <c r="AQ30" i="1" s="1"/>
  <c r="AV29" i="1" s="1"/>
  <c r="R36" i="1"/>
  <c r="T36" i="1" s="1"/>
  <c r="R30" i="1"/>
  <c r="S37" i="1"/>
  <c r="T37" i="1" s="1"/>
  <c r="AB32" i="1"/>
  <c r="AD32" i="1" s="1"/>
  <c r="AC30" i="1"/>
  <c r="AD30" i="1" s="1"/>
  <c r="T32" i="1"/>
  <c r="I32" i="1"/>
  <c r="J32" i="1" s="1"/>
  <c r="I29" i="1"/>
  <c r="J29" i="1" s="1"/>
  <c r="S35" i="1"/>
  <c r="T35" i="1" s="1"/>
  <c r="AM33" i="1"/>
  <c r="AM32" i="1"/>
  <c r="AN32" i="1" s="1"/>
  <c r="AL30" i="1"/>
  <c r="AM36" i="1"/>
  <c r="AN36" i="1" s="1"/>
  <c r="I33" i="1"/>
  <c r="J33" i="1" s="1"/>
  <c r="I30" i="1"/>
  <c r="J30" i="1" s="1"/>
  <c r="H36" i="1"/>
  <c r="J36" i="1" s="1"/>
  <c r="AC34" i="1"/>
  <c r="AD34" i="1" s="1"/>
  <c r="R29" i="1"/>
  <c r="H35" i="1"/>
  <c r="I34" i="1"/>
  <c r="J34" i="1" s="1"/>
  <c r="R33" i="1"/>
  <c r="AD36" i="1"/>
  <c r="AC29" i="1"/>
  <c r="AD29" i="1" s="1"/>
  <c r="AM29" i="1"/>
  <c r="AN29" i="1" s="1"/>
  <c r="AC37" i="1"/>
  <c r="I37" i="1"/>
  <c r="J37" i="1" s="1"/>
  <c r="AM34" i="1"/>
  <c r="AN34" i="1" s="1"/>
  <c r="S34" i="1"/>
  <c r="T34" i="1" s="1"/>
  <c r="AC31" i="1"/>
  <c r="AD31" i="1" s="1"/>
  <c r="I31" i="1"/>
  <c r="J31" i="1" s="1"/>
  <c r="AC47" i="1"/>
  <c r="AD47" i="1" s="1"/>
  <c r="I21" i="1"/>
  <c r="J21" i="1" s="1"/>
  <c r="AM59" i="1"/>
  <c r="AN59" i="1" s="1"/>
  <c r="AC63" i="1"/>
  <c r="S46" i="1"/>
  <c r="T46" i="1" s="1"/>
  <c r="AC49" i="1"/>
  <c r="AD49" i="1" s="1"/>
  <c r="AL69" i="1"/>
  <c r="AM17" i="1"/>
  <c r="AN17" i="1" s="1"/>
  <c r="S20" i="1"/>
  <c r="T20" i="1" s="1"/>
  <c r="AB75" i="1"/>
  <c r="I50" i="1"/>
  <c r="J50" i="1" s="1"/>
  <c r="AM20" i="1"/>
  <c r="AN20" i="1" s="1"/>
  <c r="AM72" i="1"/>
  <c r="AN72" i="1" s="1"/>
  <c r="AC18" i="1"/>
  <c r="AD18" i="1" s="1"/>
  <c r="R45" i="1"/>
  <c r="S72" i="1"/>
  <c r="T72" i="1" s="1"/>
  <c r="S74" i="1"/>
  <c r="T74" i="1" s="1"/>
  <c r="AM74" i="1"/>
  <c r="AN74" i="1" s="1"/>
  <c r="AM56" i="1"/>
  <c r="AN56" i="1" s="1"/>
  <c r="AM58" i="1"/>
  <c r="AN58" i="1" s="1"/>
  <c r="AD63" i="1"/>
  <c r="AC56" i="1"/>
  <c r="AD56" i="1" s="1"/>
  <c r="S62" i="1"/>
  <c r="T62" i="1" s="1"/>
  <c r="S59" i="1"/>
  <c r="T59" i="1" s="1"/>
  <c r="AL46" i="1"/>
  <c r="AL45" i="1"/>
  <c r="AM43" i="1"/>
  <c r="AN43" i="1" s="1"/>
  <c r="AC51" i="1"/>
  <c r="AD51" i="1" s="1"/>
  <c r="AB50" i="1"/>
  <c r="AC44" i="1"/>
  <c r="AD44" i="1" s="1"/>
  <c r="AC25" i="1"/>
  <c r="AD25" i="1" s="1"/>
  <c r="AC23" i="1"/>
  <c r="AD23" i="1" s="1"/>
  <c r="AC21" i="1"/>
  <c r="AD21" i="1" s="1"/>
  <c r="AL22" i="1"/>
  <c r="AL48" i="1"/>
  <c r="AB57" i="1"/>
  <c r="R61" i="1"/>
  <c r="AB62" i="1"/>
  <c r="AB73" i="1"/>
  <c r="H77" i="1"/>
  <c r="H60" i="1"/>
  <c r="AB24" i="1"/>
  <c r="AD24" i="1" s="1"/>
  <c r="AB43" i="1"/>
  <c r="AL61" i="1"/>
  <c r="I47" i="1"/>
  <c r="J47" i="1" s="1"/>
  <c r="R48" i="1"/>
  <c r="S58" i="1"/>
  <c r="T58" i="1" s="1"/>
  <c r="AB60" i="1"/>
  <c r="AD60" i="1" s="1"/>
  <c r="AB64" i="1"/>
  <c r="AB70" i="1"/>
  <c r="AD70" i="1" s="1"/>
  <c r="AQ71" i="1" s="1"/>
  <c r="AV71" i="1" s="1"/>
  <c r="H73" i="1"/>
  <c r="AB76" i="1"/>
  <c r="AD76" i="1" s="1"/>
  <c r="AR71" i="1" s="1"/>
  <c r="AV72" i="1" s="1"/>
  <c r="AB77" i="1"/>
  <c r="R22" i="1"/>
  <c r="H76" i="1"/>
  <c r="I75" i="1"/>
  <c r="J75" i="1" s="1"/>
  <c r="AR69" i="1" s="1"/>
  <c r="H70" i="1"/>
  <c r="J70" i="1" s="1"/>
  <c r="H69" i="1"/>
  <c r="J69" i="1" s="1"/>
  <c r="H64" i="1"/>
  <c r="H63" i="1"/>
  <c r="H62" i="1"/>
  <c r="J62" i="1" s="1"/>
  <c r="H57" i="1"/>
  <c r="I56" i="1"/>
  <c r="J56" i="1" s="1"/>
  <c r="I51" i="1"/>
  <c r="J51" i="1" s="1"/>
  <c r="H49" i="1"/>
  <c r="I44" i="1"/>
  <c r="J44" i="1" s="1"/>
  <c r="I43" i="1"/>
  <c r="J43" i="1" s="1"/>
  <c r="I25" i="1"/>
  <c r="J25" i="1" s="1"/>
  <c r="I24" i="1"/>
  <c r="J24" i="1" s="1"/>
  <c r="I23" i="1"/>
  <c r="J23" i="1" s="1"/>
  <c r="H18" i="1"/>
  <c r="J18" i="1" s="1"/>
  <c r="H17" i="1"/>
  <c r="AB69" i="1"/>
  <c r="AB72" i="1"/>
  <c r="R75" i="1"/>
  <c r="AL75" i="1"/>
  <c r="R76" i="1"/>
  <c r="T76" i="1" s="1"/>
  <c r="AL76" i="1"/>
  <c r="AN76" i="1" s="1"/>
  <c r="R69" i="1"/>
  <c r="T69" i="1" s="1"/>
  <c r="R70" i="1"/>
  <c r="T70" i="1" s="1"/>
  <c r="I72" i="1"/>
  <c r="J72" i="1" s="1"/>
  <c r="R73" i="1"/>
  <c r="AL73" i="1"/>
  <c r="H74" i="1"/>
  <c r="AB74" i="1"/>
  <c r="R77" i="1"/>
  <c r="AL77" i="1"/>
  <c r="AL70" i="1"/>
  <c r="H71" i="1"/>
  <c r="AB71" i="1"/>
  <c r="AL71" i="1"/>
  <c r="R71" i="1"/>
  <c r="AB59" i="1"/>
  <c r="AL62" i="1"/>
  <c r="AL63" i="1"/>
  <c r="R56" i="1"/>
  <c r="AL57" i="1"/>
  <c r="I59" i="1"/>
  <c r="J59" i="1" s="1"/>
  <c r="R60" i="1"/>
  <c r="T60" i="1" s="1"/>
  <c r="S63" i="1"/>
  <c r="T63" i="1" s="1"/>
  <c r="AL64" i="1"/>
  <c r="AN64" i="1" s="1"/>
  <c r="AR59" i="1" s="1"/>
  <c r="AV61" i="1" s="1"/>
  <c r="S57" i="1"/>
  <c r="T57" i="1" s="1"/>
  <c r="H58" i="1"/>
  <c r="J58" i="1" s="1"/>
  <c r="AB58" i="1"/>
  <c r="AM60" i="1"/>
  <c r="AN60" i="1" s="1"/>
  <c r="I61" i="1"/>
  <c r="J61" i="1" s="1"/>
  <c r="AC61" i="1"/>
  <c r="AD61" i="1" s="1"/>
  <c r="S64" i="1"/>
  <c r="R49" i="1"/>
  <c r="R50" i="1"/>
  <c r="R43" i="1"/>
  <c r="R44" i="1"/>
  <c r="AL44" i="1"/>
  <c r="I46" i="1"/>
  <c r="J46" i="1" s="1"/>
  <c r="AC46" i="1"/>
  <c r="AD46" i="1" s="1"/>
  <c r="R47" i="1"/>
  <c r="T47" i="1" s="1"/>
  <c r="H48" i="1"/>
  <c r="AB48" i="1"/>
  <c r="AM49" i="1"/>
  <c r="AN49" i="1" s="1"/>
  <c r="R51" i="1"/>
  <c r="T51" i="1" s="1"/>
  <c r="H45" i="1"/>
  <c r="AB45" i="1"/>
  <c r="AM47" i="1"/>
  <c r="AN47" i="1" s="1"/>
  <c r="AM51" i="1"/>
  <c r="AN51" i="1" s="1"/>
  <c r="AL50" i="1"/>
  <c r="AL19" i="1"/>
  <c r="S19" i="1"/>
  <c r="T19" i="1" s="1"/>
  <c r="H20" i="1"/>
  <c r="R23" i="1"/>
  <c r="R17" i="1"/>
  <c r="AC20" i="1"/>
  <c r="AD20" i="1" s="1"/>
  <c r="AL21" i="1"/>
  <c r="AN21" i="1" s="1"/>
  <c r="AM23" i="1"/>
  <c r="AN23" i="1" s="1"/>
  <c r="S24" i="1"/>
  <c r="T24" i="1" s="1"/>
  <c r="AM24" i="1"/>
  <c r="AN24" i="1" s="1"/>
  <c r="AL25" i="1"/>
  <c r="S18" i="1"/>
  <c r="T18" i="1" s="1"/>
  <c r="AM18" i="1"/>
  <c r="AN18" i="1" s="1"/>
  <c r="H19" i="1"/>
  <c r="AB19" i="1"/>
  <c r="S21" i="1"/>
  <c r="T21" i="1" s="1"/>
  <c r="I22" i="1"/>
  <c r="J22" i="1" s="1"/>
  <c r="AC22" i="1"/>
  <c r="AD22" i="1" s="1"/>
  <c r="S25" i="1"/>
  <c r="T25" i="1" s="1"/>
  <c r="AB17" i="1"/>
  <c r="L4" i="1"/>
  <c r="AF4" i="1"/>
  <c r="V4" i="1"/>
  <c r="AU3" i="1"/>
  <c r="BA5" i="1" s="1"/>
  <c r="AK12" i="1"/>
  <c r="AL12" i="1" s="1"/>
  <c r="AK11" i="1"/>
  <c r="AL11" i="1" s="1"/>
  <c r="AK10" i="1"/>
  <c r="AL10" i="1" s="1"/>
  <c r="AK9" i="1"/>
  <c r="AL9" i="1" s="1"/>
  <c r="AK8" i="1"/>
  <c r="AL8" i="1" s="1"/>
  <c r="AK7" i="1"/>
  <c r="AL7" i="1" s="1"/>
  <c r="AK6" i="1"/>
  <c r="AL6" i="1" s="1"/>
  <c r="AK5" i="1"/>
  <c r="AL5" i="1" s="1"/>
  <c r="AK4" i="1"/>
  <c r="AL4" i="1" s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AA6" i="1"/>
  <c r="AB6" i="1" s="1"/>
  <c r="AA5" i="1"/>
  <c r="AB5" i="1" s="1"/>
  <c r="AA4" i="1"/>
  <c r="AB4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AQ29" i="1" l="1"/>
  <c r="AQ32" i="1"/>
  <c r="AV33" i="1" s="1"/>
  <c r="AQ31" i="1"/>
  <c r="AV31" i="1" s="1"/>
  <c r="AR30" i="1"/>
  <c r="AV30" i="1" s="1"/>
  <c r="AR32" i="1"/>
  <c r="AV34" i="1" s="1"/>
  <c r="AR31" i="1"/>
  <c r="AV32" i="1" s="1"/>
  <c r="AQ17" i="1"/>
  <c r="AW19" i="1" s="1"/>
  <c r="AR29" i="1"/>
  <c r="AW30" i="1" s="1"/>
  <c r="AX30" i="1" s="1"/>
  <c r="AW33" i="1"/>
  <c r="AX33" i="1" s="1"/>
  <c r="AW29" i="1"/>
  <c r="AX29" i="1" s="1"/>
  <c r="AW31" i="1"/>
  <c r="AX31" i="1"/>
  <c r="AQ45" i="1"/>
  <c r="AV45" i="1" s="1"/>
  <c r="AQ44" i="1"/>
  <c r="AV43" i="1" s="1"/>
  <c r="AR72" i="1"/>
  <c r="AV74" i="1" s="1"/>
  <c r="AQ72" i="1"/>
  <c r="AV73" i="1" s="1"/>
  <c r="AR70" i="1"/>
  <c r="AV70" i="1" s="1"/>
  <c r="AQ70" i="1"/>
  <c r="AV69" i="1" s="1"/>
  <c r="AR43" i="1"/>
  <c r="AW44" i="1" s="1"/>
  <c r="AQ46" i="1"/>
  <c r="AV47" i="1" s="1"/>
  <c r="AQ59" i="1"/>
  <c r="AV60" i="1" s="1"/>
  <c r="AR58" i="1"/>
  <c r="AV59" i="1" s="1"/>
  <c r="AQ58" i="1"/>
  <c r="AV58" i="1" s="1"/>
  <c r="AQ57" i="1"/>
  <c r="AV56" i="1" s="1"/>
  <c r="AR45" i="1"/>
  <c r="AV46" i="1" s="1"/>
  <c r="AR44" i="1"/>
  <c r="AV44" i="1" s="1"/>
  <c r="AQ20" i="1"/>
  <c r="AV21" i="1" s="1"/>
  <c r="AR19" i="1"/>
  <c r="AV20" i="1" s="1"/>
  <c r="AQ19" i="1"/>
  <c r="AV19" i="1" s="1"/>
  <c r="AR18" i="1"/>
  <c r="AV18" i="1" s="1"/>
  <c r="AR46" i="1"/>
  <c r="AV48" i="1" s="1"/>
  <c r="AR57" i="1"/>
  <c r="AV57" i="1" s="1"/>
  <c r="AR20" i="1"/>
  <c r="AV22" i="1" s="1"/>
  <c r="AQ18" i="1"/>
  <c r="AV17" i="1" s="1"/>
  <c r="AQ69" i="1"/>
  <c r="AW69" i="1" s="1"/>
  <c r="AR56" i="1"/>
  <c r="AW61" i="1" s="1"/>
  <c r="AX61" i="1" s="1"/>
  <c r="AQ56" i="1"/>
  <c r="AW58" i="1" s="1"/>
  <c r="AQ43" i="1"/>
  <c r="AW45" i="1" s="1"/>
  <c r="AR17" i="1"/>
  <c r="AW18" i="1" s="1"/>
  <c r="AW70" i="1"/>
  <c r="AW72" i="1"/>
  <c r="AX72" i="1" s="1"/>
  <c r="AW74" i="1"/>
  <c r="S4" i="1"/>
  <c r="T4" i="1" s="1"/>
  <c r="S9" i="1"/>
  <c r="T9" i="1" s="1"/>
  <c r="S5" i="1"/>
  <c r="T5" i="1" s="1"/>
  <c r="AC10" i="1"/>
  <c r="AD10" i="1" s="1"/>
  <c r="AC6" i="1"/>
  <c r="AD6" i="1" s="1"/>
  <c r="AM11" i="1"/>
  <c r="AN11" i="1" s="1"/>
  <c r="AM7" i="1"/>
  <c r="AN7" i="1" s="1"/>
  <c r="S12" i="1"/>
  <c r="T12" i="1" s="1"/>
  <c r="S8" i="1"/>
  <c r="T8" i="1" s="1"/>
  <c r="AC4" i="1"/>
  <c r="AD4" i="1" s="1"/>
  <c r="AC9" i="1"/>
  <c r="AD9" i="1" s="1"/>
  <c r="AC5" i="1"/>
  <c r="AD5" i="1" s="1"/>
  <c r="AM10" i="1"/>
  <c r="AN10" i="1" s="1"/>
  <c r="AM6" i="1"/>
  <c r="S11" i="1"/>
  <c r="T11" i="1" s="1"/>
  <c r="S7" i="1"/>
  <c r="T7" i="1" s="1"/>
  <c r="AC12" i="1"/>
  <c r="AD12" i="1" s="1"/>
  <c r="AC8" i="1"/>
  <c r="AD8" i="1" s="1"/>
  <c r="AM4" i="1"/>
  <c r="AN4" i="1" s="1"/>
  <c r="AM9" i="1"/>
  <c r="AN9" i="1" s="1"/>
  <c r="AM5" i="1"/>
  <c r="AN5" i="1" s="1"/>
  <c r="S10" i="1"/>
  <c r="T10" i="1" s="1"/>
  <c r="S6" i="1"/>
  <c r="T6" i="1" s="1"/>
  <c r="AC11" i="1"/>
  <c r="AD11" i="1" s="1"/>
  <c r="AC7" i="1"/>
  <c r="AD7" i="1" s="1"/>
  <c r="AM12" i="1"/>
  <c r="AN12" i="1" s="1"/>
  <c r="AM8" i="1"/>
  <c r="AN8" i="1" s="1"/>
  <c r="AW32" i="1" l="1"/>
  <c r="AW17" i="1"/>
  <c r="AW34" i="1"/>
  <c r="AX34" i="1" s="1"/>
  <c r="AX32" i="1"/>
  <c r="AY31" i="1" s="1"/>
  <c r="AY37" i="1" s="1"/>
  <c r="AY33" i="1"/>
  <c r="AW21" i="1"/>
  <c r="AX21" i="1" s="1"/>
  <c r="AX45" i="1"/>
  <c r="AY29" i="1"/>
  <c r="AX70" i="1"/>
  <c r="AX69" i="1"/>
  <c r="AY69" i="1" s="1"/>
  <c r="AW48" i="1"/>
  <c r="AX48" i="1" s="1"/>
  <c r="AW46" i="1"/>
  <c r="AX46" i="1" s="1"/>
  <c r="AX74" i="1"/>
  <c r="AW73" i="1"/>
  <c r="AX73" i="1" s="1"/>
  <c r="AW71" i="1"/>
  <c r="AX71" i="1" s="1"/>
  <c r="AY71" i="1" s="1"/>
  <c r="AX17" i="1"/>
  <c r="AW59" i="1"/>
  <c r="AX59" i="1" s="1"/>
  <c r="AW60" i="1"/>
  <c r="AX60" i="1" s="1"/>
  <c r="AY60" i="1" s="1"/>
  <c r="AW57" i="1"/>
  <c r="AX57" i="1" s="1"/>
  <c r="AX19" i="1"/>
  <c r="AX58" i="1"/>
  <c r="AX44" i="1"/>
  <c r="AX18" i="1"/>
  <c r="AW20" i="1"/>
  <c r="AX20" i="1" s="1"/>
  <c r="AW22" i="1"/>
  <c r="AX22" i="1" s="1"/>
  <c r="AR7" i="1"/>
  <c r="AV9" i="1" s="1"/>
  <c r="AR6" i="1"/>
  <c r="AV7" i="1" s="1"/>
  <c r="AW56" i="1"/>
  <c r="AX56" i="1" s="1"/>
  <c r="AW47" i="1"/>
  <c r="AX47" i="1" s="1"/>
  <c r="AW43" i="1"/>
  <c r="AX43" i="1" s="1"/>
  <c r="AQ7" i="1"/>
  <c r="AV8" i="1" s="1"/>
  <c r="AR5" i="1"/>
  <c r="AV5" i="1" s="1"/>
  <c r="AQ6" i="1"/>
  <c r="AV6" i="1" s="1"/>
  <c r="AQ5" i="1"/>
  <c r="AV4" i="1" s="1"/>
  <c r="AY45" i="1" l="1"/>
  <c r="AY36" i="1"/>
  <c r="AY58" i="1"/>
  <c r="AY73" i="1"/>
  <c r="AY77" i="1" s="1"/>
  <c r="AY17" i="1"/>
  <c r="AY43" i="1"/>
  <c r="AY47" i="1"/>
  <c r="AY21" i="1"/>
  <c r="AY19" i="1"/>
  <c r="AY56" i="1"/>
  <c r="G9" i="1"/>
  <c r="G5" i="1"/>
  <c r="H5" i="1" s="1"/>
  <c r="G6" i="1"/>
  <c r="I6" i="1" s="1"/>
  <c r="G7" i="1"/>
  <c r="I7" i="1" s="1"/>
  <c r="G8" i="1"/>
  <c r="I8" i="1" s="1"/>
  <c r="G10" i="1"/>
  <c r="I10" i="1" s="1"/>
  <c r="G11" i="1"/>
  <c r="I11" i="1" s="1"/>
  <c r="G12" i="1"/>
  <c r="I12" i="1" s="1"/>
  <c r="G4" i="1"/>
  <c r="H4" i="1" s="1"/>
  <c r="AY64" i="1" l="1"/>
  <c r="AY76" i="1"/>
  <c r="AY50" i="1"/>
  <c r="AY24" i="1"/>
  <c r="AY25" i="1"/>
  <c r="AY51" i="1"/>
  <c r="AY63" i="1"/>
  <c r="I5" i="1"/>
  <c r="H9" i="1"/>
  <c r="I9" i="1"/>
  <c r="J9" i="1" s="1"/>
  <c r="I4" i="1"/>
  <c r="H6" i="1"/>
  <c r="H7" i="1"/>
  <c r="H8" i="1"/>
  <c r="H10" i="1"/>
  <c r="H11" i="1"/>
  <c r="H12" i="1"/>
  <c r="J8" i="1" l="1"/>
  <c r="J11" i="1"/>
  <c r="J6" i="1"/>
  <c r="J10" i="1"/>
  <c r="J5" i="1"/>
  <c r="J4" i="1"/>
  <c r="J12" i="1"/>
  <c r="J7" i="1"/>
  <c r="AR4" i="1" l="1"/>
  <c r="AW5" i="1" s="1"/>
  <c r="AQ4" i="1"/>
  <c r="AW9" i="1" l="1"/>
  <c r="AX9" i="1" s="1"/>
  <c r="AX5" i="1"/>
  <c r="AW7" i="1"/>
  <c r="AX7" i="1" s="1"/>
  <c r="AW6" i="1"/>
  <c r="AX6" i="1" s="1"/>
  <c r="AW8" i="1"/>
  <c r="AX8" i="1" s="1"/>
  <c r="AY8" i="1" s="1"/>
  <c r="AW4" i="1"/>
  <c r="AX4" i="1" s="1"/>
  <c r="AY4" i="1" l="1"/>
  <c r="AY6" i="1"/>
  <c r="AY12" i="1" l="1"/>
  <c r="BC5" i="1" s="1"/>
  <c r="AY11" i="1"/>
  <c r="BB5" i="1" s="1"/>
</calcChain>
</file>

<file path=xl/sharedStrings.xml><?xml version="1.0" encoding="utf-8"?>
<sst xmlns="http://schemas.openxmlformats.org/spreadsheetml/2006/main" count="1111" uniqueCount="67">
  <si>
    <t>Competition</t>
  </si>
  <si>
    <t>KM or SM</t>
  </si>
  <si>
    <t>KM</t>
  </si>
  <si>
    <t>Dilution</t>
  </si>
  <si>
    <t>Tech Rep 1</t>
  </si>
  <si>
    <t>Tech Rep 2</t>
  </si>
  <si>
    <t>Average</t>
  </si>
  <si>
    <t>CFU</t>
  </si>
  <si>
    <t>Usable?</t>
  </si>
  <si>
    <t>Usable CFU</t>
  </si>
  <si>
    <t>SM</t>
  </si>
  <si>
    <t>Day 0</t>
  </si>
  <si>
    <t>Day 7 Rep 1</t>
  </si>
  <si>
    <t>Day 7 Rep 3</t>
  </si>
  <si>
    <t>Day 7 Rep 2</t>
  </si>
  <si>
    <t>Avg. KM CFU</t>
  </si>
  <si>
    <t>Avg. SM CFU</t>
  </si>
  <si>
    <t>STDEV</t>
  </si>
  <si>
    <t>CFU Day 0</t>
  </si>
  <si>
    <t>Malthusian</t>
  </si>
  <si>
    <t>W</t>
  </si>
  <si>
    <t>A</t>
  </si>
  <si>
    <t>B</t>
  </si>
  <si>
    <t>C</t>
  </si>
  <si>
    <t>Copy Here</t>
  </si>
  <si>
    <t>Fitness (W)</t>
  </si>
  <si>
    <t>L2Q-KM vs L2P-SM</t>
  </si>
  <si>
    <t>L2Q-KM vs L2Q-SM</t>
  </si>
  <si>
    <t>L2Q-KM vs L2R-SM</t>
  </si>
  <si>
    <t>L2Q-KM vs L4P-SM</t>
  </si>
  <si>
    <t>Day 4 Rep 1</t>
  </si>
  <si>
    <t>Day 4 Rep 2</t>
  </si>
  <si>
    <t>Day 4 Rep 3</t>
  </si>
  <si>
    <t>Day 4 A</t>
  </si>
  <si>
    <t>Day 4 B</t>
  </si>
  <si>
    <t>Day 4 C</t>
  </si>
  <si>
    <t>Day 4</t>
  </si>
  <si>
    <t>CFU Day 4</t>
  </si>
  <si>
    <t>Day 4 Fitness</t>
  </si>
  <si>
    <t>Rep 1</t>
  </si>
  <si>
    <t>Rep 2</t>
  </si>
  <si>
    <t>Rep 3</t>
  </si>
  <si>
    <t>Average Fitness</t>
  </si>
  <si>
    <t>STVED</t>
  </si>
  <si>
    <t>Stats 1:</t>
  </si>
  <si>
    <t>Sample 1</t>
  </si>
  <si>
    <t>Sample 2</t>
  </si>
  <si>
    <t>Sample 3</t>
  </si>
  <si>
    <t>Sample 4</t>
  </si>
  <si>
    <t>Summary:</t>
  </si>
  <si>
    <t>Not Significant &amp; Ready for Competitions:</t>
  </si>
  <si>
    <t>Remake and Re-compete:</t>
  </si>
  <si>
    <t>Recompete:</t>
  </si>
  <si>
    <t>WT KM vs WT SM</t>
  </si>
  <si>
    <t>SM*KM vs WT SM</t>
  </si>
  <si>
    <t>SM3832 KM vs WT SM</t>
  </si>
  <si>
    <t>SM KM vs ∆ESM</t>
  </si>
  <si>
    <t>TNTC</t>
  </si>
  <si>
    <t>SM vs WT SM</t>
  </si>
  <si>
    <t>∆E KM vs WT SM</t>
  </si>
  <si>
    <t>WT Km vWT Sm</t>
  </si>
  <si>
    <t>∆E Km v WT Sm</t>
  </si>
  <si>
    <t>SM Km v WT Sm</t>
  </si>
  <si>
    <t xml:space="preserve">SM* Km v WT Sm </t>
  </si>
  <si>
    <t>SM 3832 v WT Sm</t>
  </si>
  <si>
    <t>SM Km v ∆E Sm</t>
  </si>
  <si>
    <t>one way anova followed by a tukey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</si>
</sst>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" xfId="0" applyBorder="1"/>
    <xf numFmtId="0" fontId="1" fillId="0" borderId="0" xfId="0" applyFont="1"/>
    <xf numFmtId="0" fontId="1" fillId="0" borderId="3" xfId="0" applyFont="1" applyBorder="1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0" fontId="0" fillId="0" borderId="14" xfId="0" applyBorder="1"/>
    <xf numFmtId="0" fontId="0" fillId="2" borderId="0" xfId="0" applyFill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Graph!$G$4:$G$9</c:f>
                <c:numCache>
                  <c:formatCode>General</c:formatCode>
                  <c:ptCount val="6"/>
                  <c:pt idx="0">
                    <c:v>8.4390000000000007E-2</c:v>
                  </c:pt>
                  <c:pt idx="1">
                    <c:v>8.9069999999999996E-2</c:v>
                  </c:pt>
                  <c:pt idx="2">
                    <c:v>9.214E-2</c:v>
                  </c:pt>
                  <c:pt idx="3">
                    <c:v>2.6669999999999999E-2</c:v>
                  </c:pt>
                  <c:pt idx="4">
                    <c:v>0.17283000000000001</c:v>
                  </c:pt>
                  <c:pt idx="5">
                    <c:v>2.2200000000000001E-2</c:v>
                  </c:pt>
                </c:numCache>
              </c:numRef>
            </c:plus>
            <c:minus>
              <c:numRef>
                <c:f>Graph!$G$4:$G$9</c:f>
                <c:numCache>
                  <c:formatCode>General</c:formatCode>
                  <c:ptCount val="6"/>
                  <c:pt idx="0">
                    <c:v>8.4390000000000007E-2</c:v>
                  </c:pt>
                  <c:pt idx="1">
                    <c:v>8.9069999999999996E-2</c:v>
                  </c:pt>
                  <c:pt idx="2">
                    <c:v>9.214E-2</c:v>
                  </c:pt>
                  <c:pt idx="3">
                    <c:v>2.6669999999999999E-2</c:v>
                  </c:pt>
                  <c:pt idx="4">
                    <c:v>0.17283000000000001</c:v>
                  </c:pt>
                  <c:pt idx="5">
                    <c:v>2.2200000000000001E-2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Graph!$B$4:$B$9</c:f>
              <c:strCache>
                <c:ptCount val="6"/>
                <c:pt idx="0">
                  <c:v>WT Km vWT Sm</c:v>
                </c:pt>
                <c:pt idx="1">
                  <c:v>∆E Km v WT Sm</c:v>
                </c:pt>
                <c:pt idx="2">
                  <c:v>SM Km v WT Sm</c:v>
                </c:pt>
                <c:pt idx="3">
                  <c:v>SM* Km v WT Sm </c:v>
                </c:pt>
                <c:pt idx="4">
                  <c:v>SM 3832 v WT Sm</c:v>
                </c:pt>
                <c:pt idx="5">
                  <c:v>SM Km v ∆E Sm</c:v>
                </c:pt>
              </c:strCache>
            </c:strRef>
          </c:cat>
          <c:val>
            <c:numRef>
              <c:f>Graph!$F$4:$F$9</c:f>
              <c:numCache>
                <c:formatCode>General</c:formatCode>
                <c:ptCount val="6"/>
                <c:pt idx="0">
                  <c:v>0.94610000000000005</c:v>
                </c:pt>
                <c:pt idx="1">
                  <c:v>1.958</c:v>
                </c:pt>
                <c:pt idx="2">
                  <c:v>2.4679000000000002</c:v>
                </c:pt>
                <c:pt idx="3">
                  <c:v>1.8001</c:v>
                </c:pt>
                <c:pt idx="4">
                  <c:v>1.664112</c:v>
                </c:pt>
                <c:pt idx="5">
                  <c:v>1.0691999999999999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1-F24C-9156-C0C37A4C9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3041904"/>
        <c:axId val="66587136"/>
      </c:barChart>
      <c:catAx>
        <c:axId val="4304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7136"/>
        <c:crossesAt val="1"/>
        <c:auto val="1"/>
        <c:lblAlgn val="ctr"/>
        <c:lblOffset val="100"/>
        <c:noMultiLvlLbl val="0"/>
      </c:catAx>
      <c:valAx>
        <c:axId val="665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47744</xdr:colOff>
      <xdr:row>2</xdr:row>
      <xdr:rowOff>219576</xdr:rowOff>
    </xdr:from>
    <xdr:to>
      <xdr:col>16</xdr:col>
      <xdr:colOff>432182</xdr:colOff>
      <xdr:row>24</xdr:row>
      <xdr:rowOff>28646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48F061-AFA6-2EB6-EEB2-0E4EAC26F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A73F-24F0-A048-8ED2-FEF158D627B5}">
  <dimension ref="B2:BF78"/>
  <sheetViews>
    <sheetView tabSelected="1" topLeftCell="AT23" zoomScale="111" workbookViewId="0">
      <selection activeCell="BA28" sqref="BA28:BF33"/>
    </sheetView>
  </sheetViews>
  <sheetFormatPr baseColWidth="10" defaultRowHeight="16" x14ac:dyDescent="0.2"/>
  <cols>
    <col min="2" max="2" width="16.6640625" bestFit="1" customWidth="1"/>
    <col min="4" max="8" width="11" bestFit="1" customWidth="1"/>
    <col min="10" max="10" width="11" bestFit="1" customWidth="1"/>
    <col min="11" max="11" width="11.6640625" bestFit="1" customWidth="1"/>
    <col min="12" max="12" width="16.6640625" bestFit="1" customWidth="1"/>
    <col min="14" max="17" width="11.1640625" bestFit="1" customWidth="1"/>
    <col min="18" max="18" width="12.6640625" bestFit="1" customWidth="1"/>
    <col min="20" max="20" width="12.6640625" bestFit="1" customWidth="1"/>
    <col min="22" max="22" width="16.6640625" bestFit="1" customWidth="1"/>
    <col min="24" max="25" width="11.33203125" bestFit="1" customWidth="1"/>
    <col min="26" max="27" width="11.1640625" bestFit="1" customWidth="1"/>
    <col min="28" max="28" width="13.83203125" bestFit="1" customWidth="1"/>
    <col min="30" max="30" width="13.83203125" bestFit="1" customWidth="1"/>
    <col min="32" max="32" width="16.6640625" bestFit="1" customWidth="1"/>
    <col min="34" max="37" width="11" bestFit="1" customWidth="1"/>
    <col min="38" max="38" width="12.6640625" bestFit="1" customWidth="1"/>
    <col min="40" max="40" width="12.6640625" bestFit="1" customWidth="1"/>
    <col min="43" max="44" width="11.6640625" bestFit="1" customWidth="1"/>
    <col min="46" max="46" width="5.6640625" bestFit="1" customWidth="1"/>
    <col min="47" max="47" width="16.6640625" bestFit="1" customWidth="1"/>
    <col min="53" max="53" width="16.6640625" bestFit="1" customWidth="1"/>
    <col min="54" max="54" width="10.6640625" bestFit="1" customWidth="1"/>
  </cols>
  <sheetData>
    <row r="2" spans="2:55" x14ac:dyDescent="0.2">
      <c r="B2" s="22" t="s">
        <v>11</v>
      </c>
      <c r="C2" s="23"/>
      <c r="D2" s="23"/>
      <c r="E2" s="23"/>
      <c r="F2" s="23"/>
      <c r="G2" s="23"/>
      <c r="H2" s="23"/>
      <c r="I2" s="23"/>
      <c r="J2" s="24"/>
      <c r="L2" s="22" t="s">
        <v>30</v>
      </c>
      <c r="M2" s="23"/>
      <c r="N2" s="23"/>
      <c r="O2" s="23"/>
      <c r="P2" s="23"/>
      <c r="Q2" s="23"/>
      <c r="R2" s="23"/>
      <c r="S2" s="23"/>
      <c r="T2" s="24"/>
      <c r="V2" s="22" t="s">
        <v>31</v>
      </c>
      <c r="W2" s="23"/>
      <c r="X2" s="23"/>
      <c r="Y2" s="23"/>
      <c r="Z2" s="23"/>
      <c r="AA2" s="23"/>
      <c r="AB2" s="23"/>
      <c r="AC2" s="23"/>
      <c r="AD2" s="24"/>
      <c r="AF2" s="22" t="s">
        <v>32</v>
      </c>
      <c r="AG2" s="23"/>
      <c r="AH2" s="23"/>
      <c r="AI2" s="23"/>
      <c r="AJ2" s="23"/>
      <c r="AK2" s="23"/>
      <c r="AL2" s="23"/>
      <c r="AM2" s="23"/>
      <c r="AN2" s="24"/>
    </row>
    <row r="3" spans="2:55" x14ac:dyDescent="0.2">
      <c r="B3" s="9" t="s">
        <v>0</v>
      </c>
      <c r="C3" s="1" t="s">
        <v>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L3" s="9" t="s">
        <v>0</v>
      </c>
      <c r="M3" s="1" t="s">
        <v>1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8</v>
      </c>
      <c r="T3" s="2" t="s">
        <v>9</v>
      </c>
      <c r="V3" s="9" t="s">
        <v>0</v>
      </c>
      <c r="W3" s="1" t="s">
        <v>1</v>
      </c>
      <c r="X3" s="1" t="s">
        <v>3</v>
      </c>
      <c r="Y3" s="1" t="s">
        <v>4</v>
      </c>
      <c r="Z3" s="1" t="s">
        <v>5</v>
      </c>
      <c r="AA3" s="1" t="s">
        <v>6</v>
      </c>
      <c r="AB3" s="1" t="s">
        <v>7</v>
      </c>
      <c r="AC3" s="1" t="s">
        <v>8</v>
      </c>
      <c r="AD3" s="2" t="s">
        <v>9</v>
      </c>
      <c r="AF3" s="9" t="s">
        <v>0</v>
      </c>
      <c r="AG3" s="1" t="s">
        <v>1</v>
      </c>
      <c r="AH3" s="1" t="s">
        <v>3</v>
      </c>
      <c r="AI3" s="1" t="s">
        <v>4</v>
      </c>
      <c r="AJ3" s="1" t="s">
        <v>5</v>
      </c>
      <c r="AK3" s="1" t="s">
        <v>6</v>
      </c>
      <c r="AL3" s="1" t="s">
        <v>7</v>
      </c>
      <c r="AM3" s="1" t="s">
        <v>8</v>
      </c>
      <c r="AN3" s="2" t="s">
        <v>9</v>
      </c>
      <c r="AQ3" s="10" t="s">
        <v>15</v>
      </c>
      <c r="AR3" s="10" t="s">
        <v>16</v>
      </c>
      <c r="AT3" s="10" t="s">
        <v>36</v>
      </c>
      <c r="AU3" s="10" t="str">
        <f>B4</f>
        <v>WT KM vs WT SM</v>
      </c>
      <c r="AV3" s="10" t="s">
        <v>37</v>
      </c>
      <c r="AW3" s="10" t="s">
        <v>18</v>
      </c>
      <c r="AX3" s="10" t="s">
        <v>19</v>
      </c>
      <c r="AY3" s="10" t="s">
        <v>20</v>
      </c>
    </row>
    <row r="4" spans="2:55" x14ac:dyDescent="0.2">
      <c r="B4" s="18" t="s">
        <v>53</v>
      </c>
      <c r="C4" s="6" t="s">
        <v>2</v>
      </c>
      <c r="D4" s="1">
        <v>-1</v>
      </c>
      <c r="E4" s="1" t="s">
        <v>57</v>
      </c>
      <c r="F4" s="1" t="s">
        <v>57</v>
      </c>
      <c r="G4" s="1" t="e">
        <f>AVERAGE(E4:F4)</f>
        <v>#DIV/0!</v>
      </c>
      <c r="H4" s="1" t="e">
        <f>((G4*10^-D4)/50)*20</f>
        <v>#DIV/0!</v>
      </c>
      <c r="I4" s="1" t="str">
        <f>IF(ISNUMBER(G4)=FALSE,"No",(IF(G4&gt;15,"Yes","No")))</f>
        <v>No</v>
      </c>
      <c r="J4" s="2" t="str">
        <f>IF(I4="Yes",H4,"")</f>
        <v/>
      </c>
      <c r="L4" s="18" t="str">
        <f>B4</f>
        <v>WT KM vs WT SM</v>
      </c>
      <c r="M4" s="6" t="s">
        <v>2</v>
      </c>
      <c r="N4" s="1">
        <v>-2</v>
      </c>
      <c r="O4" s="1" t="s">
        <v>57</v>
      </c>
      <c r="P4" s="1" t="s">
        <v>57</v>
      </c>
      <c r="Q4" s="1" t="e">
        <f>AVERAGE(O4:P4)</f>
        <v>#DIV/0!</v>
      </c>
      <c r="R4" s="1" t="e">
        <f>((Q4*10^-N4)*20)*5</f>
        <v>#DIV/0!</v>
      </c>
      <c r="S4" s="1" t="str">
        <f>IF(ISNUMBER(Q4)=FALSE,"No",(IF(Q4&gt;15,"Yes","No")))</f>
        <v>No</v>
      </c>
      <c r="T4" s="2" t="str">
        <f>IF(S4="Yes",R4,"")</f>
        <v/>
      </c>
      <c r="V4" s="18" t="str">
        <f>B4</f>
        <v>WT KM vs WT SM</v>
      </c>
      <c r="W4" s="6" t="s">
        <v>2</v>
      </c>
      <c r="X4" s="1">
        <v>-2</v>
      </c>
      <c r="Y4" s="1" t="s">
        <v>57</v>
      </c>
      <c r="Z4" s="1" t="s">
        <v>57</v>
      </c>
      <c r="AA4" s="1" t="e">
        <f>AVERAGE(Y4:Z4)</f>
        <v>#DIV/0!</v>
      </c>
      <c r="AB4" s="1" t="e">
        <f>((AA4*10^-X4)*20)*5</f>
        <v>#DIV/0!</v>
      </c>
      <c r="AC4" s="1" t="str">
        <f>IF(ISNUMBER(AA4)=FALSE,"No",(IF(AA4&gt;15,"Yes","No")))</f>
        <v>No</v>
      </c>
      <c r="AD4" s="2" t="str">
        <f>IF(AC4="Yes",AB4,"")</f>
        <v/>
      </c>
      <c r="AF4" s="18" t="str">
        <f>B4</f>
        <v>WT KM vs WT SM</v>
      </c>
      <c r="AG4" s="6" t="s">
        <v>2</v>
      </c>
      <c r="AH4" s="1">
        <v>-2</v>
      </c>
      <c r="AI4" s="1" t="s">
        <v>57</v>
      </c>
      <c r="AJ4" s="1" t="s">
        <v>57</v>
      </c>
      <c r="AK4" s="1" t="e">
        <f>AVERAGE(AI4:AJ4)</f>
        <v>#DIV/0!</v>
      </c>
      <c r="AL4" s="1" t="e">
        <f>((AK4*10^-AH4)*20)*5</f>
        <v>#DIV/0!</v>
      </c>
      <c r="AM4" s="1" t="str">
        <f>IF(ISNUMBER(AK4)=FALSE,"No",(IF(AK4&gt;15,"Yes","No")))</f>
        <v>No</v>
      </c>
      <c r="AN4" s="2" t="str">
        <f>IF(AM4="Yes",AL4,"")</f>
        <v/>
      </c>
      <c r="AP4" s="10" t="s">
        <v>11</v>
      </c>
      <c r="AQ4" s="10">
        <f>AVERAGE(J4:J8)</f>
        <v>1220</v>
      </c>
      <c r="AR4" s="10">
        <f>AVERAGE(J9:J12)</f>
        <v>9800000</v>
      </c>
      <c r="AT4" s="21" t="s">
        <v>21</v>
      </c>
      <c r="AU4" s="10" t="s">
        <v>2</v>
      </c>
      <c r="AV4" s="10">
        <f>AQ5</f>
        <v>1800000</v>
      </c>
      <c r="AW4" s="10">
        <f>AQ4</f>
        <v>1220</v>
      </c>
      <c r="AX4" s="10">
        <f>LN(AV4/AW4)</f>
        <v>7.2966910851390905</v>
      </c>
      <c r="AY4" s="10">
        <f>AX4/AX5</f>
        <v>0.91694880428651082</v>
      </c>
      <c r="BA4" t="s">
        <v>0</v>
      </c>
      <c r="BB4" t="s">
        <v>25</v>
      </c>
      <c r="BC4" t="s">
        <v>17</v>
      </c>
    </row>
    <row r="5" spans="2:55" x14ac:dyDescent="0.2">
      <c r="B5" s="19"/>
      <c r="C5" s="7" t="s">
        <v>2</v>
      </c>
      <c r="D5">
        <v>-2</v>
      </c>
      <c r="E5">
        <v>24</v>
      </c>
      <c r="F5">
        <v>37</v>
      </c>
      <c r="G5">
        <f t="shared" ref="G5:G12" si="0">AVERAGE(E5:F5)</f>
        <v>30.5</v>
      </c>
      <c r="H5">
        <f>((G5*10^-D5)/50)*20</f>
        <v>1220</v>
      </c>
      <c r="I5" t="str">
        <f t="shared" ref="I5:I12" si="1">IF(ISNUMBER(G5)=FALSE,"No",(IF(G5&gt;15,"Yes","No")))</f>
        <v>Yes</v>
      </c>
      <c r="J5" s="3">
        <f t="shared" ref="J5:J12" si="2">IF(I5="Yes",H5,"")</f>
        <v>1220</v>
      </c>
      <c r="L5" s="19"/>
      <c r="M5" s="7" t="s">
        <v>2</v>
      </c>
      <c r="N5">
        <v>-3</v>
      </c>
      <c r="O5">
        <v>16</v>
      </c>
      <c r="P5">
        <v>20</v>
      </c>
      <c r="Q5">
        <f t="shared" ref="Q5:Q12" si="3">AVERAGE(O5:P5)</f>
        <v>18</v>
      </c>
      <c r="R5">
        <f>((Q5*10^-N5)*20)*5</f>
        <v>1800000</v>
      </c>
      <c r="S5" t="str">
        <f t="shared" ref="S5:S12" si="4">IF(ISNUMBER(Q5)=FALSE,"No",(IF(Q5&gt;15,"Yes","No")))</f>
        <v>Yes</v>
      </c>
      <c r="T5" s="3">
        <f t="shared" ref="T5:T12" si="5">IF(S5="Yes",R5,"")</f>
        <v>1800000</v>
      </c>
      <c r="V5" s="19"/>
      <c r="W5" s="7" t="s">
        <v>2</v>
      </c>
      <c r="X5">
        <v>-3</v>
      </c>
      <c r="Y5">
        <v>22</v>
      </c>
      <c r="Z5">
        <v>16</v>
      </c>
      <c r="AA5">
        <f t="shared" ref="AA5:AA12" si="6">AVERAGE(Y5:Z5)</f>
        <v>19</v>
      </c>
      <c r="AB5">
        <f t="shared" ref="AB5:AB12" si="7">((AA5*10^-X5)*20)*5</f>
        <v>1900000</v>
      </c>
      <c r="AC5" t="str">
        <f t="shared" ref="AC5:AC12" si="8">IF(ISNUMBER(AA5)=FALSE,"No",(IF(AA5&gt;15,"Yes","No")))</f>
        <v>Yes</v>
      </c>
      <c r="AD5" s="3">
        <f t="shared" ref="AD5:AD12" si="9">IF(AC5="Yes",AB5,"")</f>
        <v>1900000</v>
      </c>
      <c r="AF5" s="19"/>
      <c r="AG5" s="7" t="s">
        <v>2</v>
      </c>
      <c r="AH5">
        <v>-3</v>
      </c>
      <c r="AI5" s="1">
        <v>50</v>
      </c>
      <c r="AJ5" s="1">
        <v>45</v>
      </c>
      <c r="AK5">
        <f t="shared" ref="AK5:AK12" si="10">AVERAGE(AI5:AJ5)</f>
        <v>47.5</v>
      </c>
      <c r="AL5">
        <f t="shared" ref="AL5:AL12" si="11">((AK5*10^-AH5)*20)*5</f>
        <v>4750000</v>
      </c>
      <c r="AM5" t="str">
        <f t="shared" ref="AM5:AM12" si="12">IF(ISNUMBER(AK5)=FALSE,"No",(IF(AK5&gt;15,"Yes","No")))</f>
        <v>Yes</v>
      </c>
      <c r="AN5" s="3">
        <f t="shared" ref="AN5:AN12" si="13">IF(AM5="Yes",AL5,"")</f>
        <v>4750000</v>
      </c>
      <c r="AP5" s="10" t="s">
        <v>33</v>
      </c>
      <c r="AQ5" s="10">
        <f>AVERAGE(T4:T8)</f>
        <v>1800000</v>
      </c>
      <c r="AR5" s="10">
        <f>AVERAGE(T9:T12)</f>
        <v>28000000000</v>
      </c>
      <c r="AT5" s="21"/>
      <c r="AU5" s="10" t="s">
        <v>10</v>
      </c>
      <c r="AV5" s="10">
        <f>AR5</f>
        <v>28000000000</v>
      </c>
      <c r="AW5" s="10">
        <f>AR4</f>
        <v>9800000</v>
      </c>
      <c r="AX5" s="10">
        <f t="shared" ref="AX5:AX9" si="14">LN(AV5/AW5)</f>
        <v>7.9575774034808147</v>
      </c>
      <c r="AY5" s="10"/>
      <c r="BA5" t="str">
        <f>AU3</f>
        <v>WT KM vs WT SM</v>
      </c>
      <c r="BB5">
        <f>AY11</f>
        <v>0.94613821165812739</v>
      </c>
      <c r="BC5">
        <f>AY12</f>
        <v>8.439004123969468E-2</v>
      </c>
    </row>
    <row r="6" spans="2:55" x14ac:dyDescent="0.2">
      <c r="B6" s="19"/>
      <c r="C6" s="7" t="s">
        <v>2</v>
      </c>
      <c r="D6">
        <v>-3</v>
      </c>
      <c r="E6">
        <v>6</v>
      </c>
      <c r="F6">
        <v>4</v>
      </c>
      <c r="G6">
        <f t="shared" si="0"/>
        <v>5</v>
      </c>
      <c r="H6">
        <f t="shared" ref="H6:H12" si="15">((G6*10^-D6)/50)*20</f>
        <v>2000</v>
      </c>
      <c r="I6" t="str">
        <f t="shared" si="1"/>
        <v>No</v>
      </c>
      <c r="J6" s="3" t="str">
        <f t="shared" si="2"/>
        <v/>
      </c>
      <c r="L6" s="19"/>
      <c r="M6" s="7" t="s">
        <v>2</v>
      </c>
      <c r="N6">
        <v>-4</v>
      </c>
      <c r="O6">
        <v>1</v>
      </c>
      <c r="P6">
        <v>2</v>
      </c>
      <c r="Q6">
        <f t="shared" si="3"/>
        <v>1.5</v>
      </c>
      <c r="R6">
        <f>((Q6*10^-N6)*20)*5</f>
        <v>1500000</v>
      </c>
      <c r="S6" t="str">
        <f t="shared" si="4"/>
        <v>No</v>
      </c>
      <c r="T6" s="3" t="str">
        <f t="shared" si="5"/>
        <v/>
      </c>
      <c r="V6" s="19"/>
      <c r="W6" s="7" t="s">
        <v>2</v>
      </c>
      <c r="X6">
        <v>-4</v>
      </c>
      <c r="Y6">
        <v>7</v>
      </c>
      <c r="Z6">
        <v>4</v>
      </c>
      <c r="AA6">
        <f t="shared" si="6"/>
        <v>5.5</v>
      </c>
      <c r="AB6">
        <f t="shared" si="7"/>
        <v>5500000</v>
      </c>
      <c r="AC6" t="str">
        <f t="shared" si="8"/>
        <v>No</v>
      </c>
      <c r="AD6" s="3" t="str">
        <f t="shared" si="9"/>
        <v/>
      </c>
      <c r="AF6" s="19"/>
      <c r="AG6" s="7" t="s">
        <v>2</v>
      </c>
      <c r="AH6">
        <v>-4</v>
      </c>
      <c r="AI6">
        <v>15</v>
      </c>
      <c r="AJ6">
        <v>7</v>
      </c>
      <c r="AK6">
        <f t="shared" si="10"/>
        <v>11</v>
      </c>
      <c r="AL6">
        <f t="shared" si="11"/>
        <v>11000000</v>
      </c>
      <c r="AM6" t="str">
        <f t="shared" si="12"/>
        <v>No</v>
      </c>
      <c r="AN6" s="3"/>
      <c r="AP6" s="10" t="s">
        <v>34</v>
      </c>
      <c r="AQ6" s="10">
        <f>AVERAGE(AD4:AD8)</f>
        <v>1900000</v>
      </c>
      <c r="AR6" s="10">
        <f>AVERAGE(AD9:AD12)</f>
        <v>41500000000</v>
      </c>
      <c r="AT6" s="21" t="s">
        <v>22</v>
      </c>
      <c r="AU6" s="10" t="s">
        <v>2</v>
      </c>
      <c r="AV6" s="10">
        <f>AQ6</f>
        <v>1900000</v>
      </c>
      <c r="AW6" s="10">
        <f>AQ4</f>
        <v>1220</v>
      </c>
      <c r="AX6" s="10">
        <f t="shared" si="14"/>
        <v>7.3507583064093671</v>
      </c>
      <c r="AY6" s="10">
        <f>AX6/AX7</f>
        <v>0.88021792957477751</v>
      </c>
    </row>
    <row r="7" spans="2:55" x14ac:dyDescent="0.2">
      <c r="B7" s="19"/>
      <c r="C7" s="7" t="s">
        <v>2</v>
      </c>
      <c r="D7">
        <v>-4</v>
      </c>
      <c r="G7" t="e">
        <f t="shared" si="0"/>
        <v>#DIV/0!</v>
      </c>
      <c r="H7" t="e">
        <f t="shared" si="15"/>
        <v>#DIV/0!</v>
      </c>
      <c r="I7" t="str">
        <f>IF(ISNUMBER(G7)=FALSE,"No",(IF(G7&gt;15,"Yes","No")))</f>
        <v>No</v>
      </c>
      <c r="J7" s="3" t="str">
        <f t="shared" si="2"/>
        <v/>
      </c>
      <c r="L7" s="19"/>
      <c r="M7" s="7" t="s">
        <v>2</v>
      </c>
      <c r="N7">
        <v>-5</v>
      </c>
      <c r="Q7" t="e">
        <f t="shared" si="3"/>
        <v>#DIV/0!</v>
      </c>
      <c r="R7" t="e">
        <f t="shared" ref="R7:R12" si="16">((Q7*10^-N7)*20)*5</f>
        <v>#DIV/0!</v>
      </c>
      <c r="S7" t="str">
        <f t="shared" si="4"/>
        <v>No</v>
      </c>
      <c r="T7" s="3" t="str">
        <f t="shared" si="5"/>
        <v/>
      </c>
      <c r="V7" s="19"/>
      <c r="W7" s="7" t="s">
        <v>2</v>
      </c>
      <c r="X7">
        <v>-5</v>
      </c>
      <c r="AA7" t="e">
        <f t="shared" si="6"/>
        <v>#DIV/0!</v>
      </c>
      <c r="AB7" t="e">
        <f t="shared" si="7"/>
        <v>#DIV/0!</v>
      </c>
      <c r="AC7" t="str">
        <f t="shared" si="8"/>
        <v>No</v>
      </c>
      <c r="AD7" s="3" t="str">
        <f t="shared" si="9"/>
        <v/>
      </c>
      <c r="AF7" s="19"/>
      <c r="AG7" s="7" t="s">
        <v>2</v>
      </c>
      <c r="AH7">
        <v>-5</v>
      </c>
      <c r="AI7">
        <v>1</v>
      </c>
      <c r="AJ7">
        <v>0</v>
      </c>
      <c r="AK7">
        <f t="shared" si="10"/>
        <v>0.5</v>
      </c>
      <c r="AL7">
        <f t="shared" si="11"/>
        <v>5000000</v>
      </c>
      <c r="AM7" t="str">
        <f t="shared" si="12"/>
        <v>No</v>
      </c>
      <c r="AN7" s="3" t="str">
        <f t="shared" si="13"/>
        <v/>
      </c>
      <c r="AP7" s="10" t="s">
        <v>35</v>
      </c>
      <c r="AQ7" s="10">
        <f>AVERAGE(AN4:AN8)</f>
        <v>4750000</v>
      </c>
      <c r="AR7" s="10">
        <f>AVERAGE(AN9:AN12)</f>
        <v>27500000000</v>
      </c>
      <c r="AT7" s="21"/>
      <c r="AU7" s="10" t="s">
        <v>10</v>
      </c>
      <c r="AV7" s="10">
        <f>AR6</f>
        <v>41500000000</v>
      </c>
      <c r="AW7" s="10">
        <f>AR4</f>
        <v>9800000</v>
      </c>
      <c r="AX7" s="10">
        <f t="shared" si="14"/>
        <v>8.3510663205422642</v>
      </c>
      <c r="AY7" s="10"/>
    </row>
    <row r="8" spans="2:55" x14ac:dyDescent="0.2">
      <c r="B8" s="19"/>
      <c r="C8" s="8" t="s">
        <v>2</v>
      </c>
      <c r="D8" s="4">
        <v>-5</v>
      </c>
      <c r="E8" s="4"/>
      <c r="F8" s="4"/>
      <c r="G8" s="4" t="e">
        <f t="shared" si="0"/>
        <v>#DIV/0!</v>
      </c>
      <c r="H8" s="4" t="e">
        <f t="shared" si="15"/>
        <v>#DIV/0!</v>
      </c>
      <c r="I8" s="4" t="str">
        <f t="shared" si="1"/>
        <v>No</v>
      </c>
      <c r="J8" s="5" t="str">
        <f t="shared" si="2"/>
        <v/>
      </c>
      <c r="L8" s="19"/>
      <c r="M8" s="8" t="s">
        <v>2</v>
      </c>
      <c r="N8" s="4">
        <v>-6</v>
      </c>
      <c r="O8" s="4"/>
      <c r="P8" s="4"/>
      <c r="Q8" s="4" t="e">
        <f t="shared" si="3"/>
        <v>#DIV/0!</v>
      </c>
      <c r="R8" s="4" t="e">
        <f t="shared" si="16"/>
        <v>#DIV/0!</v>
      </c>
      <c r="S8" s="4" t="str">
        <f t="shared" si="4"/>
        <v>No</v>
      </c>
      <c r="T8" s="5" t="str">
        <f t="shared" si="5"/>
        <v/>
      </c>
      <c r="V8" s="19"/>
      <c r="W8" s="8" t="s">
        <v>2</v>
      </c>
      <c r="X8" s="4">
        <v>-6</v>
      </c>
      <c r="Y8" s="4"/>
      <c r="Z8" s="4"/>
      <c r="AA8" s="4" t="e">
        <f t="shared" si="6"/>
        <v>#DIV/0!</v>
      </c>
      <c r="AB8" s="4" t="e">
        <f t="shared" si="7"/>
        <v>#DIV/0!</v>
      </c>
      <c r="AC8" s="4" t="str">
        <f t="shared" si="8"/>
        <v>No</v>
      </c>
      <c r="AD8" s="5" t="str">
        <f t="shared" si="9"/>
        <v/>
      </c>
      <c r="AF8" s="19"/>
      <c r="AG8" s="8" t="s">
        <v>2</v>
      </c>
      <c r="AH8" s="4">
        <v>-6</v>
      </c>
      <c r="AI8" s="4">
        <v>0</v>
      </c>
      <c r="AJ8" s="4">
        <v>0</v>
      </c>
      <c r="AK8" s="4">
        <f t="shared" si="10"/>
        <v>0</v>
      </c>
      <c r="AL8" s="4">
        <f t="shared" si="11"/>
        <v>0</v>
      </c>
      <c r="AM8" s="4" t="str">
        <f t="shared" si="12"/>
        <v>No</v>
      </c>
      <c r="AN8" s="5" t="str">
        <f t="shared" si="13"/>
        <v/>
      </c>
      <c r="AT8" s="21" t="s">
        <v>23</v>
      </c>
      <c r="AU8" s="10" t="s">
        <v>2</v>
      </c>
      <c r="AV8" s="10">
        <f>AQ7</f>
        <v>4750000</v>
      </c>
      <c r="AW8" s="10">
        <f>AQ4</f>
        <v>1220</v>
      </c>
      <c r="AX8" s="10">
        <f t="shared" si="14"/>
        <v>8.2670490382835222</v>
      </c>
      <c r="AY8" s="10">
        <f>AX8/AX9</f>
        <v>1.0412479011130937</v>
      </c>
    </row>
    <row r="9" spans="2:55" x14ac:dyDescent="0.2">
      <c r="B9" s="19"/>
      <c r="C9" s="6" t="s">
        <v>10</v>
      </c>
      <c r="D9" s="1">
        <v>-4</v>
      </c>
      <c r="E9" s="1" t="s">
        <v>57</v>
      </c>
      <c r="F9" s="1" t="s">
        <v>57</v>
      </c>
      <c r="G9" s="1" t="e">
        <f t="shared" si="0"/>
        <v>#DIV/0!</v>
      </c>
      <c r="H9" s="1" t="e">
        <f t="shared" si="15"/>
        <v>#DIV/0!</v>
      </c>
      <c r="I9" s="1" t="str">
        <f t="shared" si="1"/>
        <v>No</v>
      </c>
      <c r="J9" s="2" t="str">
        <f t="shared" si="2"/>
        <v/>
      </c>
      <c r="L9" s="19"/>
      <c r="M9" s="6" t="s">
        <v>10</v>
      </c>
      <c r="N9" s="1">
        <v>-4</v>
      </c>
      <c r="O9" s="12" t="s">
        <v>57</v>
      </c>
      <c r="P9" s="12" t="s">
        <v>57</v>
      </c>
      <c r="Q9" s="1" t="e">
        <f t="shared" si="3"/>
        <v>#DIV/0!</v>
      </c>
      <c r="R9" s="1" t="e">
        <f t="shared" si="16"/>
        <v>#DIV/0!</v>
      </c>
      <c r="S9" s="1" t="str">
        <f t="shared" si="4"/>
        <v>No</v>
      </c>
      <c r="T9" s="2" t="str">
        <f t="shared" si="5"/>
        <v/>
      </c>
      <c r="V9" s="19"/>
      <c r="W9" s="6" t="s">
        <v>10</v>
      </c>
      <c r="X9" s="1">
        <v>-4</v>
      </c>
      <c r="Y9" s="1" t="s">
        <v>57</v>
      </c>
      <c r="Z9" s="1" t="s">
        <v>57</v>
      </c>
      <c r="AA9" s="1" t="e">
        <f t="shared" si="6"/>
        <v>#DIV/0!</v>
      </c>
      <c r="AB9" s="1" t="e">
        <f t="shared" si="7"/>
        <v>#DIV/0!</v>
      </c>
      <c r="AC9" s="1" t="str">
        <f t="shared" si="8"/>
        <v>No</v>
      </c>
      <c r="AD9" s="2" t="str">
        <f t="shared" si="9"/>
        <v/>
      </c>
      <c r="AF9" s="19"/>
      <c r="AG9" s="6" t="s">
        <v>10</v>
      </c>
      <c r="AH9" s="1">
        <v>-4</v>
      </c>
      <c r="AI9" s="1" t="s">
        <v>57</v>
      </c>
      <c r="AJ9" s="1" t="s">
        <v>57</v>
      </c>
      <c r="AK9" s="1" t="e">
        <f t="shared" si="10"/>
        <v>#DIV/0!</v>
      </c>
      <c r="AL9" s="1" t="e">
        <f t="shared" si="11"/>
        <v>#DIV/0!</v>
      </c>
      <c r="AM9" s="1" t="str">
        <f t="shared" si="12"/>
        <v>No</v>
      </c>
      <c r="AN9" s="2" t="str">
        <f t="shared" si="13"/>
        <v/>
      </c>
      <c r="AT9" s="21"/>
      <c r="AU9" s="10" t="s">
        <v>10</v>
      </c>
      <c r="AV9" s="10">
        <f>AR7</f>
        <v>27500000000</v>
      </c>
      <c r="AW9" s="10">
        <f>AR4</f>
        <v>9800000</v>
      </c>
      <c r="AX9" s="10">
        <f t="shared" si="14"/>
        <v>7.9395588979781362</v>
      </c>
      <c r="AY9" s="10"/>
    </row>
    <row r="10" spans="2:55" x14ac:dyDescent="0.2">
      <c r="B10" s="19"/>
      <c r="C10" s="7" t="s">
        <v>10</v>
      </c>
      <c r="D10">
        <v>-5</v>
      </c>
      <c r="E10" s="1" t="s">
        <v>57</v>
      </c>
      <c r="F10" s="1" t="s">
        <v>57</v>
      </c>
      <c r="G10" t="e">
        <f t="shared" si="0"/>
        <v>#DIV/0!</v>
      </c>
      <c r="H10" t="e">
        <f t="shared" si="15"/>
        <v>#DIV/0!</v>
      </c>
      <c r="I10" t="str">
        <f t="shared" si="1"/>
        <v>No</v>
      </c>
      <c r="J10" s="3" t="str">
        <f t="shared" si="2"/>
        <v/>
      </c>
      <c r="L10" s="19"/>
      <c r="M10" s="7" t="s">
        <v>10</v>
      </c>
      <c r="N10">
        <v>-5</v>
      </c>
      <c r="O10" s="12" t="s">
        <v>57</v>
      </c>
      <c r="P10" s="12" t="s">
        <v>57</v>
      </c>
      <c r="Q10" t="e">
        <f t="shared" si="3"/>
        <v>#DIV/0!</v>
      </c>
      <c r="R10" t="e">
        <f t="shared" si="16"/>
        <v>#DIV/0!</v>
      </c>
      <c r="S10" t="str">
        <f t="shared" si="4"/>
        <v>No</v>
      </c>
      <c r="T10" s="3" t="str">
        <f t="shared" si="5"/>
        <v/>
      </c>
      <c r="V10" s="19"/>
      <c r="W10" s="7" t="s">
        <v>10</v>
      </c>
      <c r="X10">
        <v>-5</v>
      </c>
      <c r="Y10" s="1" t="s">
        <v>57</v>
      </c>
      <c r="Z10" s="1" t="s">
        <v>57</v>
      </c>
      <c r="AA10" t="e">
        <f t="shared" si="6"/>
        <v>#DIV/0!</v>
      </c>
      <c r="AB10" t="e">
        <f t="shared" si="7"/>
        <v>#DIV/0!</v>
      </c>
      <c r="AC10" t="str">
        <f t="shared" si="8"/>
        <v>No</v>
      </c>
      <c r="AD10" s="3" t="str">
        <f t="shared" si="9"/>
        <v/>
      </c>
      <c r="AF10" s="19"/>
      <c r="AG10" s="7" t="s">
        <v>10</v>
      </c>
      <c r="AH10">
        <v>-5</v>
      </c>
      <c r="AI10" s="1" t="s">
        <v>57</v>
      </c>
      <c r="AJ10" s="1" t="s">
        <v>57</v>
      </c>
      <c r="AK10" t="e">
        <f t="shared" si="10"/>
        <v>#DIV/0!</v>
      </c>
      <c r="AL10" t="e">
        <f t="shared" si="11"/>
        <v>#DIV/0!</v>
      </c>
      <c r="AM10" t="str">
        <f t="shared" si="12"/>
        <v>No</v>
      </c>
      <c r="AN10" s="3" t="str">
        <f t="shared" si="13"/>
        <v/>
      </c>
    </row>
    <row r="11" spans="2:55" x14ac:dyDescent="0.2">
      <c r="B11" s="19"/>
      <c r="C11" s="7" t="s">
        <v>10</v>
      </c>
      <c r="D11">
        <v>-6</v>
      </c>
      <c r="E11">
        <v>18</v>
      </c>
      <c r="F11">
        <v>31</v>
      </c>
      <c r="G11">
        <f t="shared" si="0"/>
        <v>24.5</v>
      </c>
      <c r="H11">
        <f t="shared" si="15"/>
        <v>9800000</v>
      </c>
      <c r="I11" t="str">
        <f t="shared" si="1"/>
        <v>Yes</v>
      </c>
      <c r="J11" s="3">
        <f t="shared" si="2"/>
        <v>9800000</v>
      </c>
      <c r="L11" s="19"/>
      <c r="M11" s="7" t="s">
        <v>10</v>
      </c>
      <c r="N11">
        <v>-6</v>
      </c>
      <c r="O11" s="12" t="s">
        <v>57</v>
      </c>
      <c r="P11" s="12" t="s">
        <v>57</v>
      </c>
      <c r="Q11" t="e">
        <f t="shared" si="3"/>
        <v>#DIV/0!</v>
      </c>
      <c r="R11" t="e">
        <f t="shared" si="16"/>
        <v>#DIV/0!</v>
      </c>
      <c r="S11" t="str">
        <f t="shared" si="4"/>
        <v>No</v>
      </c>
      <c r="T11" s="3" t="str">
        <f t="shared" si="5"/>
        <v/>
      </c>
      <c r="V11" s="19"/>
      <c r="W11" s="7" t="s">
        <v>10</v>
      </c>
      <c r="X11">
        <v>-6</v>
      </c>
      <c r="Y11" s="1" t="s">
        <v>57</v>
      </c>
      <c r="Z11" s="1" t="s">
        <v>57</v>
      </c>
      <c r="AA11" t="e">
        <f t="shared" si="6"/>
        <v>#DIV/0!</v>
      </c>
      <c r="AB11" t="e">
        <f t="shared" si="7"/>
        <v>#DIV/0!</v>
      </c>
      <c r="AC11" t="str">
        <f t="shared" si="8"/>
        <v>No</v>
      </c>
      <c r="AD11" s="3" t="str">
        <f t="shared" si="9"/>
        <v/>
      </c>
      <c r="AF11" s="19"/>
      <c r="AG11" s="7" t="s">
        <v>10</v>
      </c>
      <c r="AH11">
        <v>-6</v>
      </c>
      <c r="AI11" s="1" t="s">
        <v>57</v>
      </c>
      <c r="AJ11" s="1" t="s">
        <v>57</v>
      </c>
      <c r="AK11" t="e">
        <f t="shared" si="10"/>
        <v>#DIV/0!</v>
      </c>
      <c r="AL11" t="e">
        <f t="shared" si="11"/>
        <v>#DIV/0!</v>
      </c>
      <c r="AM11" t="str">
        <f t="shared" si="12"/>
        <v>No</v>
      </c>
      <c r="AN11" s="3" t="str">
        <f t="shared" si="13"/>
        <v/>
      </c>
      <c r="AX11" s="10" t="s">
        <v>6</v>
      </c>
      <c r="AY11" s="10">
        <f>AVERAGE(AY4,AY6,AY8)</f>
        <v>0.94613821165812739</v>
      </c>
    </row>
    <row r="12" spans="2:55" x14ac:dyDescent="0.2">
      <c r="B12" s="20"/>
      <c r="C12" s="8" t="s">
        <v>10</v>
      </c>
      <c r="D12" s="4">
        <v>-7</v>
      </c>
      <c r="E12" s="4">
        <v>3</v>
      </c>
      <c r="F12" s="4">
        <v>7</v>
      </c>
      <c r="G12" s="4">
        <f t="shared" si="0"/>
        <v>5</v>
      </c>
      <c r="H12" s="4">
        <f t="shared" si="15"/>
        <v>20000000</v>
      </c>
      <c r="I12" s="4" t="str">
        <f t="shared" si="1"/>
        <v>No</v>
      </c>
      <c r="J12" s="5" t="str">
        <f t="shared" si="2"/>
        <v/>
      </c>
      <c r="L12" s="20"/>
      <c r="M12" s="8" t="s">
        <v>10</v>
      </c>
      <c r="N12" s="4">
        <v>-7</v>
      </c>
      <c r="O12" s="4">
        <v>25</v>
      </c>
      <c r="P12" s="4">
        <v>31</v>
      </c>
      <c r="Q12" s="4">
        <f t="shared" si="3"/>
        <v>28</v>
      </c>
      <c r="R12" s="4">
        <f t="shared" si="16"/>
        <v>28000000000</v>
      </c>
      <c r="S12" s="4" t="str">
        <f t="shared" si="4"/>
        <v>Yes</v>
      </c>
      <c r="T12" s="5">
        <f t="shared" si="5"/>
        <v>28000000000</v>
      </c>
      <c r="V12" s="20"/>
      <c r="W12" s="8" t="s">
        <v>10</v>
      </c>
      <c r="X12" s="4">
        <v>-7</v>
      </c>
      <c r="Y12" s="4">
        <v>48</v>
      </c>
      <c r="Z12" s="4">
        <v>35</v>
      </c>
      <c r="AA12" s="4">
        <f t="shared" si="6"/>
        <v>41.5</v>
      </c>
      <c r="AB12" s="4">
        <f t="shared" si="7"/>
        <v>41500000000</v>
      </c>
      <c r="AC12" s="4" t="str">
        <f t="shared" si="8"/>
        <v>Yes</v>
      </c>
      <c r="AD12" s="5">
        <f t="shared" si="9"/>
        <v>41500000000</v>
      </c>
      <c r="AF12" s="20"/>
      <c r="AG12" s="8" t="s">
        <v>10</v>
      </c>
      <c r="AH12" s="4">
        <v>-7</v>
      </c>
      <c r="AI12" s="4">
        <v>30</v>
      </c>
      <c r="AJ12" s="4">
        <v>25</v>
      </c>
      <c r="AK12" s="4">
        <f t="shared" si="10"/>
        <v>27.5</v>
      </c>
      <c r="AL12" s="4">
        <f t="shared" si="11"/>
        <v>27500000000</v>
      </c>
      <c r="AM12" s="4" t="str">
        <f t="shared" si="12"/>
        <v>Yes</v>
      </c>
      <c r="AN12" s="5">
        <f t="shared" si="13"/>
        <v>27500000000</v>
      </c>
      <c r="AX12" s="10" t="s">
        <v>17</v>
      </c>
      <c r="AY12" s="10">
        <f>STDEV(AY4,AY6,AY8)</f>
        <v>8.439004123969468E-2</v>
      </c>
    </row>
    <row r="13" spans="2:55" x14ac:dyDescent="0.2">
      <c r="B13" s="17" t="s">
        <v>24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5" spans="2:55" x14ac:dyDescent="0.2">
      <c r="B15" s="22" t="s">
        <v>11</v>
      </c>
      <c r="C15" s="23"/>
      <c r="D15" s="23"/>
      <c r="E15" s="23"/>
      <c r="F15" s="23"/>
      <c r="G15" s="23"/>
      <c r="H15" s="23"/>
      <c r="I15" s="23"/>
      <c r="J15" s="24"/>
      <c r="L15" s="22" t="s">
        <v>30</v>
      </c>
      <c r="M15" s="23"/>
      <c r="N15" s="23"/>
      <c r="O15" s="23"/>
      <c r="P15" s="23"/>
      <c r="Q15" s="23"/>
      <c r="R15" s="23"/>
      <c r="S15" s="23"/>
      <c r="T15" s="24"/>
      <c r="V15" s="22" t="s">
        <v>31</v>
      </c>
      <c r="W15" s="23"/>
      <c r="X15" s="23"/>
      <c r="Y15" s="23"/>
      <c r="Z15" s="23"/>
      <c r="AA15" s="23"/>
      <c r="AB15" s="23"/>
      <c r="AC15" s="23"/>
      <c r="AD15" s="24"/>
      <c r="AF15" s="22" t="s">
        <v>32</v>
      </c>
      <c r="AG15" s="23"/>
      <c r="AH15" s="23"/>
      <c r="AI15" s="23"/>
      <c r="AJ15" s="23"/>
      <c r="AK15" s="23"/>
      <c r="AL15" s="23"/>
      <c r="AM15" s="23"/>
      <c r="AN15" s="24"/>
    </row>
    <row r="16" spans="2:55" x14ac:dyDescent="0.2">
      <c r="B16" s="9" t="s">
        <v>0</v>
      </c>
      <c r="C16" s="1" t="s">
        <v>1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2" t="s">
        <v>9</v>
      </c>
      <c r="L16" s="9" t="s">
        <v>0</v>
      </c>
      <c r="M16" s="1" t="s">
        <v>1</v>
      </c>
      <c r="N16" s="1" t="s">
        <v>3</v>
      </c>
      <c r="O16" s="1" t="s">
        <v>4</v>
      </c>
      <c r="P16" s="1" t="s">
        <v>5</v>
      </c>
      <c r="Q16" s="1" t="s">
        <v>6</v>
      </c>
      <c r="R16" s="1" t="s">
        <v>7</v>
      </c>
      <c r="S16" s="1" t="s">
        <v>8</v>
      </c>
      <c r="T16" s="2" t="s">
        <v>9</v>
      </c>
      <c r="V16" s="9" t="s">
        <v>0</v>
      </c>
      <c r="W16" s="1" t="s">
        <v>1</v>
      </c>
      <c r="X16" s="1" t="s">
        <v>3</v>
      </c>
      <c r="Y16" s="1" t="s">
        <v>4</v>
      </c>
      <c r="Z16" s="1" t="s">
        <v>5</v>
      </c>
      <c r="AA16" s="1" t="s">
        <v>6</v>
      </c>
      <c r="AB16" s="1" t="s">
        <v>7</v>
      </c>
      <c r="AC16" s="1" t="s">
        <v>8</v>
      </c>
      <c r="AD16" s="2" t="s">
        <v>9</v>
      </c>
      <c r="AF16" s="9" t="s">
        <v>0</v>
      </c>
      <c r="AG16" s="1" t="s">
        <v>1</v>
      </c>
      <c r="AH16" s="1" t="s">
        <v>3</v>
      </c>
      <c r="AI16" s="1" t="s">
        <v>4</v>
      </c>
      <c r="AJ16" s="1" t="s">
        <v>5</v>
      </c>
      <c r="AK16" s="1" t="s">
        <v>6</v>
      </c>
      <c r="AL16" s="1" t="s">
        <v>7</v>
      </c>
      <c r="AM16" s="1" t="s">
        <v>8</v>
      </c>
      <c r="AN16" s="2" t="s">
        <v>9</v>
      </c>
      <c r="AQ16" s="10" t="s">
        <v>15</v>
      </c>
      <c r="AR16" s="10" t="s">
        <v>16</v>
      </c>
      <c r="AT16" s="10" t="s">
        <v>36</v>
      </c>
      <c r="AU16" s="10" t="str">
        <f>B17</f>
        <v>∆E KM vs WT SM</v>
      </c>
      <c r="AV16" s="10" t="s">
        <v>37</v>
      </c>
      <c r="AW16" s="10" t="s">
        <v>18</v>
      </c>
      <c r="AX16" s="10" t="s">
        <v>19</v>
      </c>
      <c r="AY16" s="10" t="s">
        <v>20</v>
      </c>
    </row>
    <row r="17" spans="2:58" x14ac:dyDescent="0.2">
      <c r="B17" s="18" t="s">
        <v>59</v>
      </c>
      <c r="C17" s="6" t="s">
        <v>2</v>
      </c>
      <c r="D17" s="1">
        <v>-1</v>
      </c>
      <c r="E17" s="1" t="s">
        <v>57</v>
      </c>
      <c r="F17" s="1" t="s">
        <v>57</v>
      </c>
      <c r="G17" s="1" t="e">
        <f t="shared" ref="G17:G25" si="17">AVERAGE(E17:F17)</f>
        <v>#DIV/0!</v>
      </c>
      <c r="H17" s="1" t="e">
        <f t="shared" ref="H17:H25" si="18">((G17*10^-D17)/50)*20</f>
        <v>#DIV/0!</v>
      </c>
      <c r="I17" s="1" t="str">
        <f t="shared" ref="I17:I25" si="19">IF(ISNUMBER(G17)=FALSE,"No",(IF(G17&gt;15,"Yes","No")))</f>
        <v>No</v>
      </c>
      <c r="J17" s="2" t="str">
        <f t="shared" ref="J17:J25" si="20">IF(I17="Yes",H17,"")</f>
        <v/>
      </c>
      <c r="L17" s="18" t="str">
        <f>B17</f>
        <v>∆E KM vs WT SM</v>
      </c>
      <c r="M17" s="6" t="s">
        <v>2</v>
      </c>
      <c r="N17" s="1">
        <v>-2</v>
      </c>
      <c r="O17" s="1" t="s">
        <v>57</v>
      </c>
      <c r="P17" s="1" t="s">
        <v>57</v>
      </c>
      <c r="Q17" s="1" t="e">
        <f t="shared" ref="Q17:Q25" si="21">AVERAGE(O17:P17)</f>
        <v>#DIV/0!</v>
      </c>
      <c r="R17" s="1" t="e">
        <f t="shared" ref="R17:R25" si="22">((Q17*10^-N17)*20)*5</f>
        <v>#DIV/0!</v>
      </c>
      <c r="S17" s="1" t="str">
        <f t="shared" ref="S17:S25" si="23">IF(ISNUMBER(Q17)=FALSE,"No",(IF(Q17&gt;15,"Yes","No")))</f>
        <v>No</v>
      </c>
      <c r="T17" s="2" t="str">
        <f t="shared" ref="T17:T25" si="24">IF(S17="Yes",R17,"")</f>
        <v/>
      </c>
      <c r="V17" s="18" t="str">
        <f>B17</f>
        <v>∆E KM vs WT SM</v>
      </c>
      <c r="W17" s="6" t="s">
        <v>2</v>
      </c>
      <c r="X17" s="1">
        <v>-2</v>
      </c>
      <c r="Y17" s="1" t="s">
        <v>57</v>
      </c>
      <c r="Z17" s="1" t="s">
        <v>57</v>
      </c>
      <c r="AA17" s="1" t="e">
        <f t="shared" ref="AA17:AA25" si="25">AVERAGE(Y17:Z17)</f>
        <v>#DIV/0!</v>
      </c>
      <c r="AB17" s="1" t="e">
        <f t="shared" ref="AB17:AB25" si="26">((AA17*10^-X17)*20)*5</f>
        <v>#DIV/0!</v>
      </c>
      <c r="AC17" s="1" t="str">
        <f t="shared" ref="AC17:AC25" si="27">IF(ISNUMBER(AA17)=FALSE,"No",(IF(AA17&gt;15,"Yes","No")))</f>
        <v>No</v>
      </c>
      <c r="AD17" s="2" t="str">
        <f t="shared" ref="AD17:AD25" si="28">IF(AC17="Yes",AB17,"")</f>
        <v/>
      </c>
      <c r="AF17" s="18" t="str">
        <f>B17</f>
        <v>∆E KM vs WT SM</v>
      </c>
      <c r="AG17" s="6" t="s">
        <v>2</v>
      </c>
      <c r="AH17" s="1">
        <v>-2</v>
      </c>
      <c r="AI17" s="1" t="s">
        <v>57</v>
      </c>
      <c r="AJ17" s="1" t="s">
        <v>57</v>
      </c>
      <c r="AK17" s="1" t="e">
        <f t="shared" ref="AK17:AK25" si="29">AVERAGE(AI17:AJ17)</f>
        <v>#DIV/0!</v>
      </c>
      <c r="AL17" s="1" t="e">
        <f t="shared" ref="AL17:AL25" si="30">((AK17*10^-AH17)*20)*5</f>
        <v>#DIV/0!</v>
      </c>
      <c r="AM17" s="1" t="str">
        <f t="shared" ref="AM17:AM25" si="31">IF(ISNUMBER(AK17)=FALSE,"No",(IF(AK17&gt;15,"Yes","No")))</f>
        <v>No</v>
      </c>
      <c r="AN17" s="2" t="str">
        <f t="shared" ref="AN17:AN24" si="32">IF(AM17="Yes",AL17,"")</f>
        <v/>
      </c>
      <c r="AP17" s="10" t="s">
        <v>11</v>
      </c>
      <c r="AQ17" s="10">
        <f>AVERAGE(J17:J21)</f>
        <v>2360</v>
      </c>
      <c r="AR17" s="10">
        <f>AVERAGE(J22:J25)</f>
        <v>2640000</v>
      </c>
      <c r="AT17" s="21" t="s">
        <v>21</v>
      </c>
      <c r="AU17" s="10" t="s">
        <v>2</v>
      </c>
      <c r="AV17" s="10">
        <f>AQ18</f>
        <v>6100000000</v>
      </c>
      <c r="AW17" s="10">
        <f>AQ17</f>
        <v>2360</v>
      </c>
      <c r="AX17" s="10">
        <f t="shared" ref="AX17:AX22" si="33">LN(AV17/AW17)</f>
        <v>14.765137710106021</v>
      </c>
      <c r="AY17" s="10">
        <f>AX17/AX18</f>
        <v>2.0495965506026979</v>
      </c>
    </row>
    <row r="18" spans="2:58" x14ac:dyDescent="0.2">
      <c r="B18" s="19"/>
      <c r="C18" s="7" t="s">
        <v>2</v>
      </c>
      <c r="D18">
        <v>-2</v>
      </c>
      <c r="E18">
        <v>64</v>
      </c>
      <c r="F18">
        <v>54</v>
      </c>
      <c r="G18">
        <f t="shared" si="17"/>
        <v>59</v>
      </c>
      <c r="H18">
        <f t="shared" si="18"/>
        <v>2360</v>
      </c>
      <c r="I18" t="str">
        <f t="shared" si="19"/>
        <v>Yes</v>
      </c>
      <c r="J18" s="3">
        <f t="shared" si="20"/>
        <v>2360</v>
      </c>
      <c r="L18" s="19"/>
      <c r="M18" s="7" t="s">
        <v>2</v>
      </c>
      <c r="N18">
        <v>-3</v>
      </c>
      <c r="O18" s="1" t="s">
        <v>57</v>
      </c>
      <c r="P18" s="1" t="s">
        <v>57</v>
      </c>
      <c r="Q18" t="e">
        <f t="shared" si="21"/>
        <v>#DIV/0!</v>
      </c>
      <c r="R18" t="e">
        <f t="shared" si="22"/>
        <v>#DIV/0!</v>
      </c>
      <c r="S18" t="str">
        <f t="shared" si="23"/>
        <v>No</v>
      </c>
      <c r="T18" s="3" t="str">
        <f t="shared" si="24"/>
        <v/>
      </c>
      <c r="V18" s="19"/>
      <c r="W18" s="7" t="s">
        <v>2</v>
      </c>
      <c r="X18">
        <v>-3</v>
      </c>
      <c r="Y18" s="1" t="s">
        <v>57</v>
      </c>
      <c r="Z18" s="1" t="s">
        <v>57</v>
      </c>
      <c r="AA18" t="e">
        <f t="shared" si="25"/>
        <v>#DIV/0!</v>
      </c>
      <c r="AB18" t="e">
        <f t="shared" si="26"/>
        <v>#DIV/0!</v>
      </c>
      <c r="AC18" t="str">
        <f t="shared" si="27"/>
        <v>No</v>
      </c>
      <c r="AD18" s="3" t="str">
        <f t="shared" si="28"/>
        <v/>
      </c>
      <c r="AF18" s="19"/>
      <c r="AG18" s="7" t="s">
        <v>2</v>
      </c>
      <c r="AH18">
        <v>-3</v>
      </c>
      <c r="AI18" s="1" t="s">
        <v>57</v>
      </c>
      <c r="AJ18" s="1" t="s">
        <v>57</v>
      </c>
      <c r="AK18" t="e">
        <f t="shared" si="29"/>
        <v>#DIV/0!</v>
      </c>
      <c r="AL18" t="e">
        <f t="shared" si="30"/>
        <v>#DIV/0!</v>
      </c>
      <c r="AM18" t="str">
        <f t="shared" si="31"/>
        <v>No</v>
      </c>
      <c r="AN18" s="3" t="str">
        <f t="shared" si="32"/>
        <v/>
      </c>
      <c r="AP18" s="10" t="s">
        <v>33</v>
      </c>
      <c r="AQ18" s="10">
        <f>AVERAGE(T17:T21)</f>
        <v>6100000000</v>
      </c>
      <c r="AR18" s="10">
        <f>AVERAGE(T22:T25)</f>
        <v>3550000000</v>
      </c>
      <c r="AT18" s="21"/>
      <c r="AU18" s="10" t="s">
        <v>10</v>
      </c>
      <c r="AV18" s="10">
        <f>AR18</f>
        <v>3550000000</v>
      </c>
      <c r="AW18" s="10">
        <f>AR17</f>
        <v>2640000</v>
      </c>
      <c r="AX18" s="10">
        <f t="shared" si="33"/>
        <v>7.2039239653112368</v>
      </c>
      <c r="AY18" s="10"/>
    </row>
    <row r="19" spans="2:58" x14ac:dyDescent="0.2">
      <c r="B19" s="19"/>
      <c r="C19" s="7" t="s">
        <v>2</v>
      </c>
      <c r="D19">
        <v>-3</v>
      </c>
      <c r="E19">
        <v>6</v>
      </c>
      <c r="F19">
        <v>6</v>
      </c>
      <c r="G19">
        <f t="shared" si="17"/>
        <v>6</v>
      </c>
      <c r="H19">
        <f t="shared" si="18"/>
        <v>2400</v>
      </c>
      <c r="I19" t="str">
        <f t="shared" si="19"/>
        <v>No</v>
      </c>
      <c r="J19" s="3" t="str">
        <f t="shared" si="20"/>
        <v/>
      </c>
      <c r="L19" s="19"/>
      <c r="M19" s="7" t="s">
        <v>2</v>
      </c>
      <c r="N19">
        <v>-4</v>
      </c>
      <c r="O19" s="1" t="s">
        <v>57</v>
      </c>
      <c r="P19" s="1" t="s">
        <v>57</v>
      </c>
      <c r="Q19" t="e">
        <f t="shared" si="21"/>
        <v>#DIV/0!</v>
      </c>
      <c r="R19" t="e">
        <f t="shared" si="22"/>
        <v>#DIV/0!</v>
      </c>
      <c r="S19" t="str">
        <f t="shared" si="23"/>
        <v>No</v>
      </c>
      <c r="T19" s="3" t="str">
        <f t="shared" si="24"/>
        <v/>
      </c>
      <c r="V19" s="19"/>
      <c r="W19" s="7" t="s">
        <v>2</v>
      </c>
      <c r="X19">
        <v>-4</v>
      </c>
      <c r="Y19" s="1" t="s">
        <v>57</v>
      </c>
      <c r="Z19" s="1" t="s">
        <v>57</v>
      </c>
      <c r="AA19" t="e">
        <f t="shared" si="25"/>
        <v>#DIV/0!</v>
      </c>
      <c r="AB19" t="e">
        <f t="shared" si="26"/>
        <v>#DIV/0!</v>
      </c>
      <c r="AC19" t="str">
        <f t="shared" si="27"/>
        <v>No</v>
      </c>
      <c r="AD19" s="3" t="str">
        <f t="shared" si="28"/>
        <v/>
      </c>
      <c r="AF19" s="19"/>
      <c r="AG19" s="7" t="s">
        <v>2</v>
      </c>
      <c r="AH19">
        <v>-4</v>
      </c>
      <c r="AI19" s="1" t="s">
        <v>57</v>
      </c>
      <c r="AJ19" s="1" t="s">
        <v>57</v>
      </c>
      <c r="AK19" t="e">
        <f t="shared" si="29"/>
        <v>#DIV/0!</v>
      </c>
      <c r="AL19" t="e">
        <f t="shared" si="30"/>
        <v>#DIV/0!</v>
      </c>
      <c r="AM19" t="str">
        <f t="shared" si="31"/>
        <v>No</v>
      </c>
      <c r="AN19" s="3" t="str">
        <f t="shared" si="32"/>
        <v/>
      </c>
      <c r="AP19" s="10" t="s">
        <v>34</v>
      </c>
      <c r="AQ19" s="10">
        <f>AVERAGE(AD17:AD21)</f>
        <v>7400000000</v>
      </c>
      <c r="AR19" s="10">
        <f>AVERAGE(AD22:AD25)</f>
        <v>5600000000</v>
      </c>
      <c r="AT19" s="21" t="s">
        <v>22</v>
      </c>
      <c r="AU19" s="10" t="s">
        <v>2</v>
      </c>
      <c r="AV19" s="10">
        <f>AQ19</f>
        <v>7400000000</v>
      </c>
      <c r="AW19" s="10">
        <f>AQ17</f>
        <v>2360</v>
      </c>
      <c r="AX19" s="10">
        <f t="shared" si="33"/>
        <v>14.95832893913688</v>
      </c>
      <c r="AY19" s="10">
        <f>AX19/AX20</f>
        <v>1.9528499870165799</v>
      </c>
    </row>
    <row r="20" spans="2:58" x14ac:dyDescent="0.2">
      <c r="B20" s="19"/>
      <c r="C20" s="7" t="s">
        <v>2</v>
      </c>
      <c r="D20">
        <v>-4</v>
      </c>
      <c r="G20" t="e">
        <f t="shared" si="17"/>
        <v>#DIV/0!</v>
      </c>
      <c r="H20" t="e">
        <f t="shared" si="18"/>
        <v>#DIV/0!</v>
      </c>
      <c r="I20" t="str">
        <f t="shared" si="19"/>
        <v>No</v>
      </c>
      <c r="J20" s="3" t="str">
        <f t="shared" si="20"/>
        <v/>
      </c>
      <c r="L20" s="19"/>
      <c r="M20" s="7" t="s">
        <v>2</v>
      </c>
      <c r="N20">
        <v>-5</v>
      </c>
      <c r="O20" s="1" t="s">
        <v>57</v>
      </c>
      <c r="P20" s="1" t="s">
        <v>57</v>
      </c>
      <c r="Q20" t="e">
        <f t="shared" si="21"/>
        <v>#DIV/0!</v>
      </c>
      <c r="R20" t="e">
        <f t="shared" si="22"/>
        <v>#DIV/0!</v>
      </c>
      <c r="S20" t="str">
        <f t="shared" si="23"/>
        <v>No</v>
      </c>
      <c r="T20" s="3" t="str">
        <f t="shared" si="24"/>
        <v/>
      </c>
      <c r="V20" s="19"/>
      <c r="W20" s="7" t="s">
        <v>2</v>
      </c>
      <c r="X20">
        <v>-5</v>
      </c>
      <c r="Y20" s="1" t="s">
        <v>57</v>
      </c>
      <c r="Z20" s="1" t="s">
        <v>57</v>
      </c>
      <c r="AA20" t="e">
        <f t="shared" si="25"/>
        <v>#DIV/0!</v>
      </c>
      <c r="AB20" t="e">
        <f t="shared" si="26"/>
        <v>#DIV/0!</v>
      </c>
      <c r="AC20" t="str">
        <f t="shared" si="27"/>
        <v>No</v>
      </c>
      <c r="AD20" s="3" t="str">
        <f t="shared" si="28"/>
        <v/>
      </c>
      <c r="AF20" s="19"/>
      <c r="AG20" s="7" t="s">
        <v>2</v>
      </c>
      <c r="AH20">
        <v>-5</v>
      </c>
      <c r="AI20" s="1" t="s">
        <v>57</v>
      </c>
      <c r="AJ20" s="1" t="s">
        <v>57</v>
      </c>
      <c r="AK20" t="e">
        <f t="shared" si="29"/>
        <v>#DIV/0!</v>
      </c>
      <c r="AL20" t="e">
        <f t="shared" si="30"/>
        <v>#DIV/0!</v>
      </c>
      <c r="AM20" t="str">
        <f t="shared" si="31"/>
        <v>No</v>
      </c>
      <c r="AN20" s="3" t="str">
        <f t="shared" si="32"/>
        <v/>
      </c>
      <c r="AP20" s="10" t="s">
        <v>35</v>
      </c>
      <c r="AQ20" s="10">
        <f>AVERAGE(AN17:AN21)</f>
        <v>7300000000</v>
      </c>
      <c r="AR20" s="10">
        <f>AVERAGE(AN22:AN25)</f>
        <v>7750000000</v>
      </c>
      <c r="AT20" s="21"/>
      <c r="AU20" s="10" t="s">
        <v>10</v>
      </c>
      <c r="AV20" s="10">
        <f>AR19</f>
        <v>5600000000</v>
      </c>
      <c r="AW20" s="10">
        <f>AR17</f>
        <v>2640000</v>
      </c>
      <c r="AX20" s="10">
        <f t="shared" si="33"/>
        <v>7.6597429595650155</v>
      </c>
      <c r="AY20" s="10"/>
    </row>
    <row r="21" spans="2:58" x14ac:dyDescent="0.2">
      <c r="B21" s="19"/>
      <c r="C21" s="8" t="s">
        <v>2</v>
      </c>
      <c r="D21" s="4">
        <v>-5</v>
      </c>
      <c r="E21" s="4"/>
      <c r="F21" s="4"/>
      <c r="G21" s="4" t="e">
        <f t="shared" si="17"/>
        <v>#DIV/0!</v>
      </c>
      <c r="H21" s="4" t="e">
        <f t="shared" si="18"/>
        <v>#DIV/0!</v>
      </c>
      <c r="I21" s="4" t="str">
        <f t="shared" si="19"/>
        <v>No</v>
      </c>
      <c r="J21" s="5" t="str">
        <f t="shared" si="20"/>
        <v/>
      </c>
      <c r="L21" s="19"/>
      <c r="M21" s="8" t="s">
        <v>2</v>
      </c>
      <c r="N21" s="4">
        <v>-6</v>
      </c>
      <c r="O21" s="4">
        <v>68</v>
      </c>
      <c r="P21" s="4">
        <v>54</v>
      </c>
      <c r="Q21" s="4">
        <f t="shared" si="21"/>
        <v>61</v>
      </c>
      <c r="R21" s="4">
        <f t="shared" si="22"/>
        <v>6100000000</v>
      </c>
      <c r="S21" s="4" t="str">
        <f t="shared" si="23"/>
        <v>Yes</v>
      </c>
      <c r="T21" s="5">
        <f t="shared" si="24"/>
        <v>6100000000</v>
      </c>
      <c r="V21" s="19"/>
      <c r="W21" s="8" t="s">
        <v>2</v>
      </c>
      <c r="X21" s="4">
        <v>-6</v>
      </c>
      <c r="Y21" s="4">
        <v>76</v>
      </c>
      <c r="Z21" s="4">
        <v>72</v>
      </c>
      <c r="AA21" s="4">
        <f t="shared" si="25"/>
        <v>74</v>
      </c>
      <c r="AB21" s="4">
        <f t="shared" si="26"/>
        <v>7400000000</v>
      </c>
      <c r="AC21" s="4" t="str">
        <f t="shared" si="27"/>
        <v>Yes</v>
      </c>
      <c r="AD21" s="5">
        <f t="shared" si="28"/>
        <v>7400000000</v>
      </c>
      <c r="AF21" s="19"/>
      <c r="AG21" s="8" t="s">
        <v>2</v>
      </c>
      <c r="AH21" s="4">
        <v>-6</v>
      </c>
      <c r="AI21" s="4">
        <v>75</v>
      </c>
      <c r="AJ21" s="4">
        <v>71</v>
      </c>
      <c r="AK21" s="4">
        <f t="shared" si="29"/>
        <v>73</v>
      </c>
      <c r="AL21" s="4">
        <f t="shared" si="30"/>
        <v>7300000000</v>
      </c>
      <c r="AM21" s="4" t="str">
        <f t="shared" si="31"/>
        <v>Yes</v>
      </c>
      <c r="AN21" s="5">
        <f t="shared" si="32"/>
        <v>7300000000</v>
      </c>
      <c r="AT21" s="21" t="s">
        <v>23</v>
      </c>
      <c r="AU21" s="10" t="s">
        <v>2</v>
      </c>
      <c r="AV21" s="10">
        <f>AQ20</f>
        <v>7300000000</v>
      </c>
      <c r="AW21" s="10">
        <f>AQ17</f>
        <v>2360</v>
      </c>
      <c r="AX21" s="10">
        <f t="shared" si="33"/>
        <v>14.944723287081102</v>
      </c>
      <c r="AY21" s="10">
        <f>AX21/AX22</f>
        <v>1.8716771982699865</v>
      </c>
    </row>
    <row r="22" spans="2:58" x14ac:dyDescent="0.2">
      <c r="B22" s="19"/>
      <c r="C22" s="6" t="s">
        <v>10</v>
      </c>
      <c r="D22" s="1">
        <v>-4</v>
      </c>
      <c r="E22" s="1" t="s">
        <v>57</v>
      </c>
      <c r="F22" s="1" t="s">
        <v>57</v>
      </c>
      <c r="G22" s="1" t="e">
        <f t="shared" si="17"/>
        <v>#DIV/0!</v>
      </c>
      <c r="H22" s="1" t="e">
        <f t="shared" si="18"/>
        <v>#DIV/0!</v>
      </c>
      <c r="I22" s="1" t="str">
        <f t="shared" si="19"/>
        <v>No</v>
      </c>
      <c r="J22" s="2" t="str">
        <f t="shared" si="20"/>
        <v/>
      </c>
      <c r="L22" s="19"/>
      <c r="M22" s="6" t="s">
        <v>10</v>
      </c>
      <c r="N22" s="1">
        <v>-4</v>
      </c>
      <c r="O22" s="12" t="s">
        <v>57</v>
      </c>
      <c r="P22" s="12" t="s">
        <v>57</v>
      </c>
      <c r="Q22" s="1" t="e">
        <f t="shared" si="21"/>
        <v>#DIV/0!</v>
      </c>
      <c r="R22" s="1" t="e">
        <f t="shared" si="22"/>
        <v>#DIV/0!</v>
      </c>
      <c r="S22" s="1" t="str">
        <f t="shared" si="23"/>
        <v>No</v>
      </c>
      <c r="T22" s="2" t="str">
        <f t="shared" si="24"/>
        <v/>
      </c>
      <c r="V22" s="19"/>
      <c r="W22" s="6" t="s">
        <v>10</v>
      </c>
      <c r="X22" s="1">
        <v>-4</v>
      </c>
      <c r="Y22" s="1" t="s">
        <v>57</v>
      </c>
      <c r="Z22" s="1" t="s">
        <v>57</v>
      </c>
      <c r="AA22" s="1" t="e">
        <f t="shared" si="25"/>
        <v>#DIV/0!</v>
      </c>
      <c r="AB22" s="1" t="e">
        <f t="shared" si="26"/>
        <v>#DIV/0!</v>
      </c>
      <c r="AC22" s="1" t="str">
        <f t="shared" si="27"/>
        <v>No</v>
      </c>
      <c r="AD22" s="2" t="str">
        <f t="shared" si="28"/>
        <v/>
      </c>
      <c r="AF22" s="19"/>
      <c r="AG22" s="6" t="s">
        <v>10</v>
      </c>
      <c r="AH22" s="1">
        <v>-4</v>
      </c>
      <c r="AI22" s="1" t="s">
        <v>57</v>
      </c>
      <c r="AJ22" s="1" t="s">
        <v>57</v>
      </c>
      <c r="AK22" s="1" t="e">
        <f t="shared" si="29"/>
        <v>#DIV/0!</v>
      </c>
      <c r="AL22" s="1" t="e">
        <f t="shared" si="30"/>
        <v>#DIV/0!</v>
      </c>
      <c r="AM22" s="1" t="str">
        <f t="shared" si="31"/>
        <v>No</v>
      </c>
      <c r="AN22" s="2" t="str">
        <f t="shared" si="32"/>
        <v/>
      </c>
      <c r="AT22" s="21"/>
      <c r="AU22" s="10" t="s">
        <v>10</v>
      </c>
      <c r="AV22" s="10">
        <f>AR20</f>
        <v>7750000000</v>
      </c>
      <c r="AW22" s="10">
        <f>AR17</f>
        <v>2640000</v>
      </c>
      <c r="AX22" s="10">
        <f t="shared" si="33"/>
        <v>7.9846692051891681</v>
      </c>
      <c r="AY22" s="10"/>
    </row>
    <row r="23" spans="2:58" x14ac:dyDescent="0.2">
      <c r="B23" s="19"/>
      <c r="C23" s="7" t="s">
        <v>10</v>
      </c>
      <c r="D23">
        <v>-5</v>
      </c>
      <c r="E23">
        <v>74</v>
      </c>
      <c r="F23">
        <v>58</v>
      </c>
      <c r="G23">
        <f t="shared" si="17"/>
        <v>66</v>
      </c>
      <c r="H23">
        <f t="shared" si="18"/>
        <v>2640000</v>
      </c>
      <c r="I23" t="str">
        <f t="shared" si="19"/>
        <v>Yes</v>
      </c>
      <c r="J23" s="3">
        <f t="shared" si="20"/>
        <v>2640000</v>
      </c>
      <c r="L23" s="19"/>
      <c r="M23" s="7" t="s">
        <v>10</v>
      </c>
      <c r="N23">
        <v>-5</v>
      </c>
      <c r="O23" s="12" t="s">
        <v>57</v>
      </c>
      <c r="P23" s="12" t="s">
        <v>57</v>
      </c>
      <c r="Q23" t="e">
        <f t="shared" si="21"/>
        <v>#DIV/0!</v>
      </c>
      <c r="R23" t="e">
        <f t="shared" si="22"/>
        <v>#DIV/0!</v>
      </c>
      <c r="S23" t="str">
        <f t="shared" si="23"/>
        <v>No</v>
      </c>
      <c r="T23" s="3" t="str">
        <f t="shared" si="24"/>
        <v/>
      </c>
      <c r="V23" s="19"/>
      <c r="W23" s="7" t="s">
        <v>10</v>
      </c>
      <c r="X23">
        <v>-5</v>
      </c>
      <c r="Y23" s="1" t="s">
        <v>57</v>
      </c>
      <c r="Z23" s="1" t="s">
        <v>57</v>
      </c>
      <c r="AA23" t="e">
        <f t="shared" si="25"/>
        <v>#DIV/0!</v>
      </c>
      <c r="AB23" t="e">
        <f t="shared" si="26"/>
        <v>#DIV/0!</v>
      </c>
      <c r="AC23" t="str">
        <f t="shared" si="27"/>
        <v>No</v>
      </c>
      <c r="AD23" s="3" t="str">
        <f t="shared" si="28"/>
        <v/>
      </c>
      <c r="AF23" s="19"/>
      <c r="AG23" s="7" t="s">
        <v>10</v>
      </c>
      <c r="AH23">
        <v>-5</v>
      </c>
      <c r="AI23" s="1" t="s">
        <v>57</v>
      </c>
      <c r="AJ23" s="1" t="s">
        <v>57</v>
      </c>
      <c r="AK23" t="e">
        <f t="shared" si="29"/>
        <v>#DIV/0!</v>
      </c>
      <c r="AL23" t="e">
        <f t="shared" si="30"/>
        <v>#DIV/0!</v>
      </c>
      <c r="AM23" t="str">
        <f t="shared" si="31"/>
        <v>No</v>
      </c>
      <c r="AN23" s="3" t="str">
        <f t="shared" si="32"/>
        <v/>
      </c>
    </row>
    <row r="24" spans="2:58" x14ac:dyDescent="0.2">
      <c r="B24" s="19"/>
      <c r="C24" s="7" t="s">
        <v>10</v>
      </c>
      <c r="D24">
        <v>-6</v>
      </c>
      <c r="E24">
        <v>11</v>
      </c>
      <c r="F24">
        <v>14</v>
      </c>
      <c r="G24">
        <f t="shared" si="17"/>
        <v>12.5</v>
      </c>
      <c r="H24">
        <f t="shared" si="18"/>
        <v>5000000</v>
      </c>
      <c r="I24" t="str">
        <f t="shared" si="19"/>
        <v>No</v>
      </c>
      <c r="J24" s="3" t="str">
        <f t="shared" si="20"/>
        <v/>
      </c>
      <c r="L24" s="19"/>
      <c r="M24" s="7" t="s">
        <v>10</v>
      </c>
      <c r="N24">
        <v>-6</v>
      </c>
      <c r="O24" s="12">
        <v>37</v>
      </c>
      <c r="P24" s="12">
        <v>34</v>
      </c>
      <c r="Q24">
        <f t="shared" si="21"/>
        <v>35.5</v>
      </c>
      <c r="R24">
        <f t="shared" si="22"/>
        <v>3550000000</v>
      </c>
      <c r="S24" t="str">
        <f t="shared" si="23"/>
        <v>Yes</v>
      </c>
      <c r="T24" s="3">
        <f t="shared" si="24"/>
        <v>3550000000</v>
      </c>
      <c r="V24" s="19"/>
      <c r="W24" s="7" t="s">
        <v>10</v>
      </c>
      <c r="X24">
        <v>-6</v>
      </c>
      <c r="Y24">
        <v>46</v>
      </c>
      <c r="Z24">
        <v>66</v>
      </c>
      <c r="AA24">
        <f t="shared" si="25"/>
        <v>56</v>
      </c>
      <c r="AB24">
        <f t="shared" si="26"/>
        <v>5600000000</v>
      </c>
      <c r="AC24" t="str">
        <f t="shared" si="27"/>
        <v>Yes</v>
      </c>
      <c r="AD24" s="3">
        <f t="shared" si="28"/>
        <v>5600000000</v>
      </c>
      <c r="AF24" s="19"/>
      <c r="AG24" s="7" t="s">
        <v>10</v>
      </c>
      <c r="AH24">
        <v>-6</v>
      </c>
      <c r="AI24">
        <v>82</v>
      </c>
      <c r="AJ24">
        <v>73</v>
      </c>
      <c r="AK24">
        <f t="shared" si="29"/>
        <v>77.5</v>
      </c>
      <c r="AL24">
        <f t="shared" si="30"/>
        <v>7750000000</v>
      </c>
      <c r="AM24" t="str">
        <f t="shared" si="31"/>
        <v>Yes</v>
      </c>
      <c r="AN24" s="3">
        <f t="shared" si="32"/>
        <v>7750000000</v>
      </c>
      <c r="AX24" s="10" t="s">
        <v>6</v>
      </c>
      <c r="AY24" s="10">
        <f>AVERAGE(AY17,AY19,AY21)</f>
        <v>1.9580412452964213</v>
      </c>
    </row>
    <row r="25" spans="2:58" x14ac:dyDescent="0.2">
      <c r="B25" s="20"/>
      <c r="C25" s="8" t="s">
        <v>10</v>
      </c>
      <c r="D25" s="4">
        <v>-7</v>
      </c>
      <c r="E25" s="4">
        <v>0</v>
      </c>
      <c r="F25" s="4">
        <v>1</v>
      </c>
      <c r="G25" s="4">
        <f t="shared" si="17"/>
        <v>0.5</v>
      </c>
      <c r="H25" s="4">
        <f t="shared" si="18"/>
        <v>2000000</v>
      </c>
      <c r="I25" s="4" t="str">
        <f t="shared" si="19"/>
        <v>No</v>
      </c>
      <c r="J25" s="5" t="str">
        <f t="shared" si="20"/>
        <v/>
      </c>
      <c r="L25" s="20"/>
      <c r="M25" s="8" t="s">
        <v>10</v>
      </c>
      <c r="N25" s="4">
        <v>-7</v>
      </c>
      <c r="O25" s="4">
        <v>3</v>
      </c>
      <c r="P25" s="4">
        <v>3</v>
      </c>
      <c r="Q25" s="4">
        <f t="shared" si="21"/>
        <v>3</v>
      </c>
      <c r="R25" s="4">
        <f t="shared" si="22"/>
        <v>3000000000</v>
      </c>
      <c r="S25" s="4" t="str">
        <f t="shared" si="23"/>
        <v>No</v>
      </c>
      <c r="T25" s="5" t="str">
        <f t="shared" si="24"/>
        <v/>
      </c>
      <c r="V25" s="20"/>
      <c r="W25" s="8" t="s">
        <v>10</v>
      </c>
      <c r="X25" s="4">
        <v>-7</v>
      </c>
      <c r="Y25" s="4">
        <v>8</v>
      </c>
      <c r="Z25" s="4">
        <v>11</v>
      </c>
      <c r="AA25" s="4">
        <f t="shared" si="25"/>
        <v>9.5</v>
      </c>
      <c r="AB25" s="4">
        <f t="shared" si="26"/>
        <v>9500000000</v>
      </c>
      <c r="AC25" s="4" t="str">
        <f t="shared" si="27"/>
        <v>No</v>
      </c>
      <c r="AD25" s="5" t="str">
        <f t="shared" si="28"/>
        <v/>
      </c>
      <c r="AF25" s="20"/>
      <c r="AG25" s="8" t="s">
        <v>10</v>
      </c>
      <c r="AH25" s="4">
        <v>-7</v>
      </c>
      <c r="AI25" s="4">
        <v>14</v>
      </c>
      <c r="AJ25" s="4">
        <v>23</v>
      </c>
      <c r="AK25" s="4">
        <f t="shared" si="29"/>
        <v>18.5</v>
      </c>
      <c r="AL25" s="4">
        <f t="shared" si="30"/>
        <v>18500000000</v>
      </c>
      <c r="AM25" s="4" t="str">
        <f t="shared" si="31"/>
        <v>Yes</v>
      </c>
      <c r="AN25" s="5"/>
      <c r="AX25" s="10" t="s">
        <v>17</v>
      </c>
      <c r="AY25" s="10">
        <f>STDEV(AY17,AY19,AY21)</f>
        <v>8.9073205036749911E-2</v>
      </c>
    </row>
    <row r="26" spans="2:58" x14ac:dyDescent="0.2">
      <c r="B26" s="17" t="s">
        <v>24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7" spans="2:58" ht="17" thickBot="1" x14ac:dyDescent="0.25">
      <c r="B27" s="25" t="s">
        <v>11</v>
      </c>
      <c r="C27" s="26"/>
      <c r="D27" s="26"/>
      <c r="E27" s="26"/>
      <c r="F27" s="26"/>
      <c r="G27" s="26"/>
      <c r="H27" s="26"/>
      <c r="I27" s="26"/>
      <c r="J27" s="27"/>
      <c r="L27" s="25" t="s">
        <v>30</v>
      </c>
      <c r="M27" s="26"/>
      <c r="N27" s="26"/>
      <c r="O27" s="26"/>
      <c r="P27" s="26"/>
      <c r="Q27" s="26"/>
      <c r="R27" s="26"/>
      <c r="S27" s="26"/>
      <c r="T27" s="27"/>
      <c r="V27" s="25" t="s">
        <v>31</v>
      </c>
      <c r="W27" s="26"/>
      <c r="X27" s="26"/>
      <c r="Y27" s="26"/>
      <c r="Z27" s="26"/>
      <c r="AA27" s="26"/>
      <c r="AB27" s="26"/>
      <c r="AC27" s="26"/>
      <c r="AD27" s="27"/>
      <c r="AF27" s="25" t="s">
        <v>32</v>
      </c>
      <c r="AG27" s="26"/>
      <c r="AH27" s="26"/>
      <c r="AI27" s="26"/>
      <c r="AJ27" s="26"/>
      <c r="AK27" s="26"/>
      <c r="AL27" s="26"/>
      <c r="AM27" s="26"/>
      <c r="AN27" s="27"/>
      <c r="BA27" s="16" t="s">
        <v>0</v>
      </c>
      <c r="BB27" s="16" t="s">
        <v>39</v>
      </c>
      <c r="BC27" s="16" t="s">
        <v>40</v>
      </c>
      <c r="BD27" s="16" t="s">
        <v>41</v>
      </c>
      <c r="BE27" s="16" t="s">
        <v>6</v>
      </c>
      <c r="BF27" s="16" t="s">
        <v>17</v>
      </c>
    </row>
    <row r="28" spans="2:58" ht="17" thickTop="1" x14ac:dyDescent="0.2">
      <c r="B28" s="9" t="s">
        <v>0</v>
      </c>
      <c r="C28" s="1" t="s">
        <v>1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2" t="s">
        <v>9</v>
      </c>
      <c r="L28" s="9" t="s">
        <v>0</v>
      </c>
      <c r="M28" s="1" t="s">
        <v>1</v>
      </c>
      <c r="N28" s="1" t="s">
        <v>3</v>
      </c>
      <c r="O28" s="1" t="s">
        <v>4</v>
      </c>
      <c r="P28" s="1" t="s">
        <v>5</v>
      </c>
      <c r="Q28" s="1" t="s">
        <v>6</v>
      </c>
      <c r="R28" s="1" t="s">
        <v>7</v>
      </c>
      <c r="S28" s="1" t="s">
        <v>8</v>
      </c>
      <c r="T28" s="2" t="s">
        <v>9</v>
      </c>
      <c r="V28" s="9" t="s">
        <v>0</v>
      </c>
      <c r="W28" s="1" t="s">
        <v>1</v>
      </c>
      <c r="X28" s="1" t="s">
        <v>3</v>
      </c>
      <c r="Y28" s="1" t="s">
        <v>4</v>
      </c>
      <c r="Z28" s="1" t="s">
        <v>5</v>
      </c>
      <c r="AA28" s="1" t="s">
        <v>6</v>
      </c>
      <c r="AB28" s="1" t="s">
        <v>7</v>
      </c>
      <c r="AC28" s="1" t="s">
        <v>8</v>
      </c>
      <c r="AD28" s="2" t="s">
        <v>9</v>
      </c>
      <c r="AF28" s="9" t="s">
        <v>0</v>
      </c>
      <c r="AG28" s="1" t="s">
        <v>1</v>
      </c>
      <c r="AH28" s="1" t="s">
        <v>3</v>
      </c>
      <c r="AI28" s="1" t="s">
        <v>4</v>
      </c>
      <c r="AJ28" s="1" t="s">
        <v>5</v>
      </c>
      <c r="AK28" s="1" t="s">
        <v>6</v>
      </c>
      <c r="AL28" s="1" t="s">
        <v>7</v>
      </c>
      <c r="AM28" s="1" t="s">
        <v>8</v>
      </c>
      <c r="AN28" s="2" t="s">
        <v>9</v>
      </c>
      <c r="AQ28" s="10" t="s">
        <v>15</v>
      </c>
      <c r="AR28" s="10" t="s">
        <v>16</v>
      </c>
      <c r="AT28" s="10" t="s">
        <v>36</v>
      </c>
      <c r="AU28" s="10" t="str">
        <f>B29</f>
        <v>SM vs WT SM</v>
      </c>
      <c r="AV28" s="10" t="s">
        <v>37</v>
      </c>
      <c r="AW28" s="10" t="s">
        <v>18</v>
      </c>
      <c r="AX28" s="10" t="s">
        <v>19</v>
      </c>
      <c r="AY28" s="10" t="s">
        <v>20</v>
      </c>
      <c r="BA28" t="s">
        <v>60</v>
      </c>
      <c r="BB28">
        <v>0.91690000000000005</v>
      </c>
      <c r="BC28">
        <v>0.88019999999999998</v>
      </c>
      <c r="BD28">
        <v>1.0411999999999999</v>
      </c>
      <c r="BE28">
        <v>0.94610000000000005</v>
      </c>
      <c r="BF28">
        <v>8.4390000000000007E-2</v>
      </c>
    </row>
    <row r="29" spans="2:58" x14ac:dyDescent="0.2">
      <c r="B29" s="18" t="s">
        <v>58</v>
      </c>
      <c r="C29" s="6" t="s">
        <v>2</v>
      </c>
      <c r="D29" s="1">
        <v>-1</v>
      </c>
      <c r="E29" s="1">
        <v>64</v>
      </c>
      <c r="F29" s="1">
        <v>53</v>
      </c>
      <c r="G29" s="1">
        <f>AVERAGE(E29:F29)</f>
        <v>58.5</v>
      </c>
      <c r="H29" s="1">
        <f>((G29*10^-D29)/50)*20</f>
        <v>234</v>
      </c>
      <c r="I29" s="1" t="str">
        <f>IF(ISNUMBER(G29)=FALSE,"No",(IF(G29&gt;15,"Yes","No")))</f>
        <v>Yes</v>
      </c>
      <c r="J29" s="2">
        <f>IF(I29="Yes",H29,"")</f>
        <v>234</v>
      </c>
      <c r="L29" s="18" t="str">
        <f>B29</f>
        <v>SM vs WT SM</v>
      </c>
      <c r="M29" s="6" t="s">
        <v>2</v>
      </c>
      <c r="N29" s="1">
        <v>-2</v>
      </c>
      <c r="O29" s="1" t="s">
        <v>57</v>
      </c>
      <c r="P29" s="1" t="s">
        <v>57</v>
      </c>
      <c r="Q29" s="1" t="e">
        <f>AVERAGE(O29:P29)</f>
        <v>#DIV/0!</v>
      </c>
      <c r="R29" s="1" t="e">
        <f>((Q29*10^-N29)*20)*5</f>
        <v>#DIV/0!</v>
      </c>
      <c r="S29" s="1" t="str">
        <f>IF(ISNUMBER(Q29)=FALSE,"No",(IF(Q29&gt;15,"Yes","No")))</f>
        <v>No</v>
      </c>
      <c r="T29" s="2" t="str">
        <f>IF(S29="Yes",R29,"")</f>
        <v/>
      </c>
      <c r="V29" s="18" t="str">
        <f>B29</f>
        <v>SM vs WT SM</v>
      </c>
      <c r="W29" s="6" t="s">
        <v>2</v>
      </c>
      <c r="X29" s="1">
        <v>-2</v>
      </c>
      <c r="Y29" s="1" t="s">
        <v>57</v>
      </c>
      <c r="Z29" s="1" t="s">
        <v>57</v>
      </c>
      <c r="AA29" s="1" t="e">
        <f>AVERAGE(Y29:Z29)</f>
        <v>#DIV/0!</v>
      </c>
      <c r="AB29" s="1" t="e">
        <f>((AA29*10^-X29)*20)*5</f>
        <v>#DIV/0!</v>
      </c>
      <c r="AC29" s="1" t="str">
        <f>IF(ISNUMBER(AA29)=FALSE,"No",(IF(AA29&gt;15,"Yes","No")))</f>
        <v>No</v>
      </c>
      <c r="AD29" s="2" t="str">
        <f>IF(AC29="Yes",AB29,"")</f>
        <v/>
      </c>
      <c r="AF29" s="18" t="str">
        <f>B29</f>
        <v>SM vs WT SM</v>
      </c>
      <c r="AG29" s="6" t="s">
        <v>2</v>
      </c>
      <c r="AH29" s="1">
        <v>-2</v>
      </c>
      <c r="AI29" s="1" t="s">
        <v>57</v>
      </c>
      <c r="AJ29" s="1" t="s">
        <v>57</v>
      </c>
      <c r="AK29" s="1" t="e">
        <f>AVERAGE(AI29:AJ29)</f>
        <v>#DIV/0!</v>
      </c>
      <c r="AL29" s="1" t="e">
        <f>((AK29*10^-AH29)*20)*5</f>
        <v>#DIV/0!</v>
      </c>
      <c r="AM29" s="1" t="str">
        <f>IF(ISNUMBER(AK29)=FALSE,"No",(IF(AK29&gt;15,"Yes","No")))</f>
        <v>No</v>
      </c>
      <c r="AN29" s="2" t="str">
        <f>IF(AM29="Yes",AL29,"")</f>
        <v/>
      </c>
      <c r="AP29" s="10" t="s">
        <v>11</v>
      </c>
      <c r="AQ29" s="10">
        <f>AVERAGE(J29:J33)</f>
        <v>234</v>
      </c>
      <c r="AR29" s="10">
        <f>AVERAGE(J34:J37)</f>
        <v>11600000</v>
      </c>
      <c r="AT29" s="18" t="s">
        <v>21</v>
      </c>
      <c r="AU29" s="10" t="s">
        <v>2</v>
      </c>
      <c r="AV29" s="10">
        <f>AQ30</f>
        <v>955000000</v>
      </c>
      <c r="AW29" s="10">
        <f>AQ29</f>
        <v>234</v>
      </c>
      <c r="AX29" s="10">
        <f>LN(AV29/AW29)</f>
        <v>15.221900783087303</v>
      </c>
      <c r="AY29" s="10">
        <f>AX29/AX30</f>
        <v>2.5536556098638865</v>
      </c>
      <c r="BA29" t="s">
        <v>61</v>
      </c>
      <c r="BB29">
        <v>2.0495000000000001</v>
      </c>
      <c r="BC29">
        <v>1.9528000000000001</v>
      </c>
      <c r="BD29">
        <v>1.8715999999999999</v>
      </c>
      <c r="BE29">
        <v>1.958</v>
      </c>
      <c r="BF29">
        <v>8.9069999999999996E-2</v>
      </c>
    </row>
    <row r="30" spans="2:58" x14ac:dyDescent="0.2">
      <c r="B30" s="19"/>
      <c r="C30" s="7" t="s">
        <v>2</v>
      </c>
      <c r="D30">
        <v>-2</v>
      </c>
      <c r="E30">
        <v>13</v>
      </c>
      <c r="F30">
        <v>11</v>
      </c>
      <c r="G30">
        <f t="shared" ref="G30:G37" si="34">AVERAGE(E30:F30)</f>
        <v>12</v>
      </c>
      <c r="H30">
        <f>((G30*10^-D30)/50)*20</f>
        <v>480</v>
      </c>
      <c r="I30" t="str">
        <f t="shared" ref="I30:I31" si="35">IF(ISNUMBER(G30)=FALSE,"No",(IF(G30&gt;15,"Yes","No")))</f>
        <v>No</v>
      </c>
      <c r="J30" s="3" t="str">
        <f t="shared" ref="J30:J37" si="36">IF(I30="Yes",H30,"")</f>
        <v/>
      </c>
      <c r="L30" s="19"/>
      <c r="M30" s="7" t="s">
        <v>2</v>
      </c>
      <c r="N30">
        <v>-3</v>
      </c>
      <c r="O30" s="1" t="s">
        <v>57</v>
      </c>
      <c r="P30" s="1" t="s">
        <v>57</v>
      </c>
      <c r="Q30" t="e">
        <f t="shared" ref="Q30:Q37" si="37">AVERAGE(O30:P30)</f>
        <v>#DIV/0!</v>
      </c>
      <c r="R30" t="e">
        <f>((Q30*10^-N30)*20)*5</f>
        <v>#DIV/0!</v>
      </c>
      <c r="S30" t="str">
        <f t="shared" ref="S30:S37" si="38">IF(ISNUMBER(Q30)=FALSE,"No",(IF(Q30&gt;15,"Yes","No")))</f>
        <v>No</v>
      </c>
      <c r="T30" s="3" t="str">
        <f t="shared" ref="T30:T37" si="39">IF(S30="Yes",R30,"")</f>
        <v/>
      </c>
      <c r="V30" s="19"/>
      <c r="W30" s="7" t="s">
        <v>2</v>
      </c>
      <c r="X30">
        <v>-3</v>
      </c>
      <c r="Y30" s="1" t="s">
        <v>57</v>
      </c>
      <c r="Z30" s="1" t="s">
        <v>57</v>
      </c>
      <c r="AA30" t="e">
        <f t="shared" ref="AA30:AA37" si="40">AVERAGE(Y30:Z30)</f>
        <v>#DIV/0!</v>
      </c>
      <c r="AB30" t="e">
        <f t="shared" ref="AB30:AB37" si="41">((AA30*10^-X30)*20)*5</f>
        <v>#DIV/0!</v>
      </c>
      <c r="AC30" t="str">
        <f t="shared" ref="AC30:AC37" si="42">IF(ISNUMBER(AA30)=FALSE,"No",(IF(AA30&gt;15,"Yes","No")))</f>
        <v>No</v>
      </c>
      <c r="AD30" s="3" t="str">
        <f t="shared" ref="AD30:AD36" si="43">IF(AC30="Yes",AB30,"")</f>
        <v/>
      </c>
      <c r="AF30" s="19"/>
      <c r="AG30" s="7" t="s">
        <v>2</v>
      </c>
      <c r="AH30">
        <v>-3</v>
      </c>
      <c r="AI30" s="1" t="s">
        <v>57</v>
      </c>
      <c r="AJ30" s="1" t="s">
        <v>57</v>
      </c>
      <c r="AK30" t="e">
        <f t="shared" ref="AK30:AK37" si="44">AVERAGE(AI30:AJ30)</f>
        <v>#DIV/0!</v>
      </c>
      <c r="AL30" t="e">
        <f t="shared" ref="AL30:AL37" si="45">((AK30*10^-AH30)*20)*5</f>
        <v>#DIV/0!</v>
      </c>
      <c r="AM30" t="str">
        <f t="shared" ref="AM30:AM37" si="46">IF(ISNUMBER(AK30)=FALSE,"No",(IF(AK30&gt;15,"Yes","No")))</f>
        <v>No</v>
      </c>
      <c r="AN30" s="3" t="str">
        <f t="shared" ref="AN30:AN37" si="47">IF(AM30="Yes",AL30,"")</f>
        <v/>
      </c>
      <c r="AP30" s="10" t="s">
        <v>33</v>
      </c>
      <c r="AQ30" s="10">
        <f>AVERAGE(T29:T33)</f>
        <v>955000000</v>
      </c>
      <c r="AR30" s="10">
        <f>AVERAGE(T34:T37)</f>
        <v>4500000000</v>
      </c>
      <c r="AT30" s="20"/>
      <c r="AU30" s="10" t="s">
        <v>10</v>
      </c>
      <c r="AV30" s="10">
        <f>AR30</f>
        <v>4500000000</v>
      </c>
      <c r="AW30" s="10">
        <f>AR29</f>
        <v>11600000</v>
      </c>
      <c r="AX30" s="10">
        <f t="shared" ref="AX30:AX34" si="48">LN(AV30/AW30)</f>
        <v>5.9608275776460919</v>
      </c>
      <c r="AY30" s="10"/>
      <c r="BA30" t="s">
        <v>62</v>
      </c>
      <c r="BB30">
        <v>2.5529999999999999</v>
      </c>
      <c r="BC30">
        <v>2.3704000000000001</v>
      </c>
      <c r="BD30">
        <v>2.4796</v>
      </c>
      <c r="BE30">
        <v>2.4679000000000002</v>
      </c>
      <c r="BF30">
        <v>9.214E-2</v>
      </c>
    </row>
    <row r="31" spans="2:58" x14ac:dyDescent="0.2">
      <c r="B31" s="19"/>
      <c r="C31" s="7" t="s">
        <v>2</v>
      </c>
      <c r="D31">
        <v>-3</v>
      </c>
      <c r="G31" t="e">
        <f t="shared" si="34"/>
        <v>#DIV/0!</v>
      </c>
      <c r="H31" t="e">
        <f t="shared" ref="H31:H37" si="49">((G31*10^-D31)/50)*20</f>
        <v>#DIV/0!</v>
      </c>
      <c r="I31" t="str">
        <f t="shared" si="35"/>
        <v>No</v>
      </c>
      <c r="J31" s="3" t="str">
        <f t="shared" si="36"/>
        <v/>
      </c>
      <c r="L31" s="19"/>
      <c r="M31" s="7" t="s">
        <v>2</v>
      </c>
      <c r="N31">
        <v>-4</v>
      </c>
      <c r="O31" s="1" t="s">
        <v>57</v>
      </c>
      <c r="P31" s="1" t="s">
        <v>57</v>
      </c>
      <c r="Q31" t="e">
        <f t="shared" si="37"/>
        <v>#DIV/0!</v>
      </c>
      <c r="R31" t="e">
        <f>((Q31*10^-N31)*20)*5</f>
        <v>#DIV/0!</v>
      </c>
      <c r="S31" t="str">
        <f t="shared" si="38"/>
        <v>No</v>
      </c>
      <c r="T31" s="3" t="str">
        <f t="shared" si="39"/>
        <v/>
      </c>
      <c r="V31" s="19"/>
      <c r="W31" s="7" t="s">
        <v>2</v>
      </c>
      <c r="X31">
        <v>-4</v>
      </c>
      <c r="Y31" s="1" t="s">
        <v>57</v>
      </c>
      <c r="Z31" s="1" t="s">
        <v>57</v>
      </c>
      <c r="AA31" t="e">
        <f t="shared" si="40"/>
        <v>#DIV/0!</v>
      </c>
      <c r="AB31" t="e">
        <f t="shared" si="41"/>
        <v>#DIV/0!</v>
      </c>
      <c r="AC31" t="str">
        <f t="shared" si="42"/>
        <v>No</v>
      </c>
      <c r="AD31" s="3" t="str">
        <f t="shared" si="43"/>
        <v/>
      </c>
      <c r="AF31" s="19"/>
      <c r="AG31" s="7" t="s">
        <v>2</v>
      </c>
      <c r="AH31">
        <v>-4</v>
      </c>
      <c r="AI31" s="1" t="s">
        <v>57</v>
      </c>
      <c r="AJ31" s="1" t="s">
        <v>57</v>
      </c>
      <c r="AK31" t="e">
        <f t="shared" si="44"/>
        <v>#DIV/0!</v>
      </c>
      <c r="AL31" t="e">
        <f t="shared" si="45"/>
        <v>#DIV/0!</v>
      </c>
      <c r="AM31" t="str">
        <f t="shared" si="46"/>
        <v>No</v>
      </c>
      <c r="AN31" s="3" t="str">
        <f t="shared" si="47"/>
        <v/>
      </c>
      <c r="AP31" s="10" t="s">
        <v>34</v>
      </c>
      <c r="AQ31" s="10">
        <f>AVERAGE(AD29:AD33)</f>
        <v>1145000000</v>
      </c>
      <c r="AR31" s="10">
        <f>AVERAGE(AD34:AD37)</f>
        <v>7700000000</v>
      </c>
      <c r="AT31" s="18" t="s">
        <v>22</v>
      </c>
      <c r="AU31" s="10" t="s">
        <v>2</v>
      </c>
      <c r="AV31" s="10">
        <f>AQ31</f>
        <v>1145000000</v>
      </c>
      <c r="AW31" s="10">
        <f>AQ29</f>
        <v>234</v>
      </c>
      <c r="AX31" s="10">
        <f t="shared" si="48"/>
        <v>15.403349358594912</v>
      </c>
      <c r="AY31" s="10">
        <f>AX31/AX32</f>
        <v>2.3704861903468739</v>
      </c>
      <c r="BA31" t="s">
        <v>63</v>
      </c>
      <c r="BB31">
        <v>1.8171999999999999</v>
      </c>
      <c r="BC31">
        <v>1.8137000000000001</v>
      </c>
      <c r="BD31">
        <v>1.7694000000000001</v>
      </c>
      <c r="BE31">
        <v>1.8001</v>
      </c>
      <c r="BF31">
        <v>2.6669999999999999E-2</v>
      </c>
    </row>
    <row r="32" spans="2:58" x14ac:dyDescent="0.2">
      <c r="B32" s="19"/>
      <c r="C32" s="7" t="s">
        <v>2</v>
      </c>
      <c r="D32">
        <v>-4</v>
      </c>
      <c r="G32" t="e">
        <f t="shared" si="34"/>
        <v>#DIV/0!</v>
      </c>
      <c r="H32" t="e">
        <f t="shared" si="49"/>
        <v>#DIV/0!</v>
      </c>
      <c r="I32" t="str">
        <f>IF(ISNUMBER(G32)=FALSE,"No",(IF(G32&gt;15,"Yes","No")))</f>
        <v>No</v>
      </c>
      <c r="J32" s="3" t="str">
        <f t="shared" si="36"/>
        <v/>
      </c>
      <c r="L32" s="19"/>
      <c r="M32" s="7" t="s">
        <v>2</v>
      </c>
      <c r="N32">
        <v>-5</v>
      </c>
      <c r="O32" s="1">
        <v>96</v>
      </c>
      <c r="P32" s="1">
        <v>95</v>
      </c>
      <c r="Q32">
        <f>AVERAGE(O32:P32)</f>
        <v>95.5</v>
      </c>
      <c r="R32">
        <f t="shared" ref="R32:R37" si="50">((Q32*10^-N32)*20)*5</f>
        <v>955000000</v>
      </c>
      <c r="S32" t="str">
        <f t="shared" si="38"/>
        <v>Yes</v>
      </c>
      <c r="T32" s="3">
        <f t="shared" si="39"/>
        <v>955000000</v>
      </c>
      <c r="V32" s="19"/>
      <c r="W32" s="7" t="s">
        <v>2</v>
      </c>
      <c r="X32">
        <v>-5</v>
      </c>
      <c r="Y32" s="1">
        <v>117</v>
      </c>
      <c r="Z32" s="1">
        <v>112</v>
      </c>
      <c r="AA32">
        <f t="shared" si="40"/>
        <v>114.5</v>
      </c>
      <c r="AB32">
        <f t="shared" si="41"/>
        <v>1145000000</v>
      </c>
      <c r="AC32" t="str">
        <f t="shared" si="42"/>
        <v>Yes</v>
      </c>
      <c r="AD32" s="3">
        <f t="shared" si="43"/>
        <v>1145000000</v>
      </c>
      <c r="AF32" s="19"/>
      <c r="AG32" s="7" t="s">
        <v>2</v>
      </c>
      <c r="AH32">
        <v>-5</v>
      </c>
      <c r="AI32" s="1">
        <v>89</v>
      </c>
      <c r="AJ32" s="1">
        <v>91</v>
      </c>
      <c r="AK32">
        <f t="shared" si="44"/>
        <v>90</v>
      </c>
      <c r="AL32">
        <f t="shared" si="45"/>
        <v>900000000</v>
      </c>
      <c r="AM32" t="str">
        <f t="shared" si="46"/>
        <v>Yes</v>
      </c>
      <c r="AN32" s="3">
        <f t="shared" si="47"/>
        <v>900000000</v>
      </c>
      <c r="AP32" s="10" t="s">
        <v>35</v>
      </c>
      <c r="AQ32" s="10">
        <f>AVERAGE(AN29:AN33)</f>
        <v>900000000</v>
      </c>
      <c r="AR32" s="10">
        <f>AVERAGE(AN34:AN37)</f>
        <v>5250000000</v>
      </c>
      <c r="AT32" s="20"/>
      <c r="AU32" s="10" t="s">
        <v>10</v>
      </c>
      <c r="AV32" s="10">
        <f>AR31</f>
        <v>7700000000</v>
      </c>
      <c r="AW32" s="10">
        <f>AR29</f>
        <v>11600000</v>
      </c>
      <c r="AX32" s="10">
        <f t="shared" si="48"/>
        <v>6.4979705097294564</v>
      </c>
      <c r="AY32" s="10"/>
      <c r="BA32" t="s">
        <v>64</v>
      </c>
      <c r="BB32">
        <v>1.7337</v>
      </c>
      <c r="BC32">
        <v>1.74786</v>
      </c>
      <c r="BD32">
        <v>1.4417</v>
      </c>
      <c r="BE32">
        <v>1.664112</v>
      </c>
      <c r="BF32">
        <v>0.17283000000000001</v>
      </c>
    </row>
    <row r="33" spans="2:58" x14ac:dyDescent="0.2">
      <c r="B33" s="19"/>
      <c r="C33" s="8" t="s">
        <v>2</v>
      </c>
      <c r="D33" s="4">
        <v>-5</v>
      </c>
      <c r="E33" s="4"/>
      <c r="F33" s="4"/>
      <c r="G33" s="4" t="e">
        <f t="shared" si="34"/>
        <v>#DIV/0!</v>
      </c>
      <c r="H33" s="4" t="e">
        <f t="shared" si="49"/>
        <v>#DIV/0!</v>
      </c>
      <c r="I33" s="4" t="str">
        <f t="shared" ref="I33:I37" si="51">IF(ISNUMBER(G33)=FALSE,"No",(IF(G33&gt;15,"Yes","No")))</f>
        <v>No</v>
      </c>
      <c r="J33" s="5" t="str">
        <f t="shared" si="36"/>
        <v/>
      </c>
      <c r="L33" s="19"/>
      <c r="M33" s="8" t="s">
        <v>2</v>
      </c>
      <c r="N33" s="4">
        <v>-6</v>
      </c>
      <c r="O33" s="4"/>
      <c r="P33" s="4"/>
      <c r="Q33" s="4" t="e">
        <f>AVERAGE(O33:P33)</f>
        <v>#DIV/0!</v>
      </c>
      <c r="R33" s="4" t="e">
        <f t="shared" si="50"/>
        <v>#DIV/0!</v>
      </c>
      <c r="S33" s="4" t="str">
        <f t="shared" si="38"/>
        <v>No</v>
      </c>
      <c r="T33" s="5"/>
      <c r="V33" s="19"/>
      <c r="W33" s="8" t="s">
        <v>2</v>
      </c>
      <c r="X33" s="4">
        <v>-6</v>
      </c>
      <c r="Y33" s="4"/>
      <c r="Z33" s="4"/>
      <c r="AA33" s="4" t="e">
        <f t="shared" si="40"/>
        <v>#DIV/0!</v>
      </c>
      <c r="AB33" s="4" t="e">
        <f t="shared" si="41"/>
        <v>#DIV/0!</v>
      </c>
      <c r="AC33" s="4" t="str">
        <f t="shared" si="42"/>
        <v>No</v>
      </c>
      <c r="AD33" s="5"/>
      <c r="AF33" s="19"/>
      <c r="AG33" s="8" t="s">
        <v>2</v>
      </c>
      <c r="AH33" s="4">
        <v>-6</v>
      </c>
      <c r="AI33" s="4"/>
      <c r="AJ33" s="4"/>
      <c r="AK33" s="4" t="e">
        <f t="shared" si="44"/>
        <v>#DIV/0!</v>
      </c>
      <c r="AL33" s="4" t="e">
        <f t="shared" si="45"/>
        <v>#DIV/0!</v>
      </c>
      <c r="AM33" s="4" t="str">
        <f t="shared" si="46"/>
        <v>No</v>
      </c>
      <c r="AN33" s="5"/>
      <c r="AT33" s="18" t="s">
        <v>23</v>
      </c>
      <c r="AU33" s="10" t="s">
        <v>2</v>
      </c>
      <c r="AV33" s="10">
        <f>AQ32</f>
        <v>900000000</v>
      </c>
      <c r="AW33" s="10">
        <f>AQ29</f>
        <v>234</v>
      </c>
      <c r="AX33" s="10">
        <f t="shared" si="48"/>
        <v>15.162584205930884</v>
      </c>
      <c r="AY33" s="10">
        <f>AX33/AX34</f>
        <v>2.4795810495973725</v>
      </c>
      <c r="BA33" t="s">
        <v>65</v>
      </c>
      <c r="BB33">
        <v>1.0437000000000001</v>
      </c>
      <c r="BC33">
        <v>1.0792999999999999</v>
      </c>
      <c r="BD33">
        <v>1.0845499999999999</v>
      </c>
      <c r="BE33">
        <v>1.0691999999999999</v>
      </c>
      <c r="BF33">
        <v>2.2200000000000001E-2</v>
      </c>
    </row>
    <row r="34" spans="2:58" x14ac:dyDescent="0.2">
      <c r="B34" s="19"/>
      <c r="C34" s="6" t="s">
        <v>10</v>
      </c>
      <c r="D34" s="1">
        <v>-4</v>
      </c>
      <c r="E34" s="1" t="s">
        <v>57</v>
      </c>
      <c r="F34" s="1" t="s">
        <v>57</v>
      </c>
      <c r="G34" s="1" t="e">
        <f t="shared" si="34"/>
        <v>#DIV/0!</v>
      </c>
      <c r="H34" s="1" t="e">
        <f t="shared" si="49"/>
        <v>#DIV/0!</v>
      </c>
      <c r="I34" s="1" t="str">
        <f t="shared" si="51"/>
        <v>No</v>
      </c>
      <c r="J34" s="2" t="str">
        <f t="shared" si="36"/>
        <v/>
      </c>
      <c r="L34" s="19"/>
      <c r="M34" s="6" t="s">
        <v>10</v>
      </c>
      <c r="N34" s="1">
        <v>-4</v>
      </c>
      <c r="O34" s="12" t="s">
        <v>57</v>
      </c>
      <c r="P34" s="12" t="s">
        <v>57</v>
      </c>
      <c r="Q34" s="1" t="e">
        <f t="shared" si="37"/>
        <v>#DIV/0!</v>
      </c>
      <c r="R34" s="1" t="e">
        <f t="shared" si="50"/>
        <v>#DIV/0!</v>
      </c>
      <c r="S34" s="1" t="str">
        <f t="shared" si="38"/>
        <v>No</v>
      </c>
      <c r="T34" s="2" t="str">
        <f t="shared" si="39"/>
        <v/>
      </c>
      <c r="V34" s="19"/>
      <c r="W34" s="6" t="s">
        <v>10</v>
      </c>
      <c r="X34" s="1">
        <v>-4</v>
      </c>
      <c r="Y34" s="1" t="s">
        <v>57</v>
      </c>
      <c r="Z34" s="1" t="s">
        <v>57</v>
      </c>
      <c r="AA34" s="1" t="e">
        <f t="shared" si="40"/>
        <v>#DIV/0!</v>
      </c>
      <c r="AB34" s="1" t="e">
        <f t="shared" si="41"/>
        <v>#DIV/0!</v>
      </c>
      <c r="AC34" s="1" t="str">
        <f t="shared" si="42"/>
        <v>No</v>
      </c>
      <c r="AD34" s="2" t="str">
        <f t="shared" si="43"/>
        <v/>
      </c>
      <c r="AF34" s="19"/>
      <c r="AG34" s="6" t="s">
        <v>10</v>
      </c>
      <c r="AH34" s="1">
        <v>-4</v>
      </c>
      <c r="AI34" s="1" t="s">
        <v>57</v>
      </c>
      <c r="AJ34" s="1" t="s">
        <v>57</v>
      </c>
      <c r="AK34" s="1" t="e">
        <f t="shared" si="44"/>
        <v>#DIV/0!</v>
      </c>
      <c r="AL34" s="1" t="e">
        <f t="shared" si="45"/>
        <v>#DIV/0!</v>
      </c>
      <c r="AM34" s="1" t="str">
        <f t="shared" si="46"/>
        <v>No</v>
      </c>
      <c r="AN34" s="2" t="str">
        <f t="shared" si="47"/>
        <v/>
      </c>
      <c r="AT34" s="20"/>
      <c r="AU34" s="10" t="s">
        <v>10</v>
      </c>
      <c r="AV34" s="10">
        <f>AR32</f>
        <v>5250000000</v>
      </c>
      <c r="AW34" s="10">
        <f>AR29</f>
        <v>11600000</v>
      </c>
      <c r="AX34" s="10">
        <f t="shared" si="48"/>
        <v>6.1149782574733509</v>
      </c>
      <c r="AY34" s="10"/>
    </row>
    <row r="35" spans="2:58" x14ac:dyDescent="0.2">
      <c r="B35" s="19"/>
      <c r="C35" s="7" t="s">
        <v>10</v>
      </c>
      <c r="D35">
        <v>-5</v>
      </c>
      <c r="E35" s="1" t="s">
        <v>57</v>
      </c>
      <c r="F35" s="1" t="s">
        <v>57</v>
      </c>
      <c r="G35" t="e">
        <f t="shared" si="34"/>
        <v>#DIV/0!</v>
      </c>
      <c r="H35" t="e">
        <f t="shared" si="49"/>
        <v>#DIV/0!</v>
      </c>
      <c r="I35" t="str">
        <f t="shared" si="51"/>
        <v>No</v>
      </c>
      <c r="J35" s="3" t="str">
        <f t="shared" si="36"/>
        <v/>
      </c>
      <c r="L35" s="19"/>
      <c r="M35" s="7" t="s">
        <v>10</v>
      </c>
      <c r="N35">
        <v>-5</v>
      </c>
      <c r="O35" s="12" t="s">
        <v>57</v>
      </c>
      <c r="P35" s="12" t="s">
        <v>57</v>
      </c>
      <c r="Q35" t="e">
        <f t="shared" si="37"/>
        <v>#DIV/0!</v>
      </c>
      <c r="R35" t="e">
        <f t="shared" si="50"/>
        <v>#DIV/0!</v>
      </c>
      <c r="S35" t="str">
        <f t="shared" si="38"/>
        <v>No</v>
      </c>
      <c r="T35" s="3" t="str">
        <f t="shared" si="39"/>
        <v/>
      </c>
      <c r="V35" s="19"/>
      <c r="W35" s="7" t="s">
        <v>10</v>
      </c>
      <c r="X35">
        <v>-5</v>
      </c>
      <c r="Y35" s="1" t="s">
        <v>57</v>
      </c>
      <c r="Z35" s="1" t="s">
        <v>57</v>
      </c>
      <c r="AA35" t="e">
        <f t="shared" si="40"/>
        <v>#DIV/0!</v>
      </c>
      <c r="AB35" t="e">
        <f t="shared" si="41"/>
        <v>#DIV/0!</v>
      </c>
      <c r="AC35" t="str">
        <f t="shared" si="42"/>
        <v>No</v>
      </c>
      <c r="AD35" s="3" t="str">
        <f t="shared" si="43"/>
        <v/>
      </c>
      <c r="AF35" s="19"/>
      <c r="AG35" s="7" t="s">
        <v>10</v>
      </c>
      <c r="AH35">
        <v>-5</v>
      </c>
      <c r="AI35" s="1" t="s">
        <v>57</v>
      </c>
      <c r="AJ35" s="1" t="s">
        <v>57</v>
      </c>
      <c r="AK35" t="e">
        <f t="shared" si="44"/>
        <v>#DIV/0!</v>
      </c>
      <c r="AL35" t="e">
        <f t="shared" si="45"/>
        <v>#DIV/0!</v>
      </c>
      <c r="AM35" t="str">
        <f t="shared" si="46"/>
        <v>No</v>
      </c>
      <c r="AN35" s="3" t="str">
        <f t="shared" si="47"/>
        <v/>
      </c>
    </row>
    <row r="36" spans="2:58" x14ac:dyDescent="0.2">
      <c r="B36" s="19"/>
      <c r="C36" s="7" t="s">
        <v>10</v>
      </c>
      <c r="D36">
        <v>-6</v>
      </c>
      <c r="E36">
        <v>32</v>
      </c>
      <c r="F36">
        <v>26</v>
      </c>
      <c r="G36">
        <f t="shared" si="34"/>
        <v>29</v>
      </c>
      <c r="H36">
        <f t="shared" si="49"/>
        <v>11600000</v>
      </c>
      <c r="I36" t="str">
        <f t="shared" si="51"/>
        <v>Yes</v>
      </c>
      <c r="J36" s="3">
        <f t="shared" si="36"/>
        <v>11600000</v>
      </c>
      <c r="L36" s="19"/>
      <c r="M36" s="7" t="s">
        <v>10</v>
      </c>
      <c r="N36">
        <v>-6</v>
      </c>
      <c r="O36" s="11">
        <v>43</v>
      </c>
      <c r="P36" s="11">
        <v>47</v>
      </c>
      <c r="Q36">
        <f t="shared" si="37"/>
        <v>45</v>
      </c>
      <c r="R36">
        <f t="shared" si="50"/>
        <v>4500000000</v>
      </c>
      <c r="S36" t="str">
        <f t="shared" si="38"/>
        <v>Yes</v>
      </c>
      <c r="T36" s="3">
        <f t="shared" si="39"/>
        <v>4500000000</v>
      </c>
      <c r="V36" s="19"/>
      <c r="W36" s="7" t="s">
        <v>10</v>
      </c>
      <c r="X36">
        <v>-6</v>
      </c>
      <c r="Y36">
        <v>76</v>
      </c>
      <c r="Z36">
        <v>78</v>
      </c>
      <c r="AA36">
        <f t="shared" si="40"/>
        <v>77</v>
      </c>
      <c r="AB36">
        <f t="shared" si="41"/>
        <v>7700000000</v>
      </c>
      <c r="AC36" t="str">
        <f t="shared" si="42"/>
        <v>Yes</v>
      </c>
      <c r="AD36" s="3">
        <f t="shared" si="43"/>
        <v>7700000000</v>
      </c>
      <c r="AF36" s="19"/>
      <c r="AG36" s="7" t="s">
        <v>10</v>
      </c>
      <c r="AH36">
        <v>-6</v>
      </c>
      <c r="AI36">
        <v>43</v>
      </c>
      <c r="AJ36">
        <v>62</v>
      </c>
      <c r="AK36">
        <f t="shared" si="44"/>
        <v>52.5</v>
      </c>
      <c r="AL36">
        <f t="shared" si="45"/>
        <v>5250000000</v>
      </c>
      <c r="AM36" t="str">
        <f t="shared" si="46"/>
        <v>Yes</v>
      </c>
      <c r="AN36" s="3">
        <f t="shared" si="47"/>
        <v>5250000000</v>
      </c>
      <c r="AX36" s="10" t="s">
        <v>6</v>
      </c>
      <c r="AY36" s="10">
        <f>AVERAGE(AY29,AY31,AY33)</f>
        <v>2.467907616602711</v>
      </c>
    </row>
    <row r="37" spans="2:58" x14ac:dyDescent="0.2">
      <c r="B37" s="20"/>
      <c r="C37" s="8" t="s">
        <v>10</v>
      </c>
      <c r="D37" s="4">
        <v>-7</v>
      </c>
      <c r="E37" s="4">
        <v>1</v>
      </c>
      <c r="F37" s="4">
        <v>4</v>
      </c>
      <c r="G37" s="4">
        <f t="shared" si="34"/>
        <v>2.5</v>
      </c>
      <c r="H37" s="4">
        <f t="shared" si="49"/>
        <v>10000000</v>
      </c>
      <c r="I37" s="4" t="str">
        <f t="shared" si="51"/>
        <v>No</v>
      </c>
      <c r="J37" s="5" t="str">
        <f t="shared" si="36"/>
        <v/>
      </c>
      <c r="L37" s="20"/>
      <c r="M37" s="8" t="s">
        <v>10</v>
      </c>
      <c r="N37" s="4">
        <v>-7</v>
      </c>
      <c r="O37" s="4">
        <v>7</v>
      </c>
      <c r="P37" s="4">
        <v>2</v>
      </c>
      <c r="Q37" s="4">
        <f t="shared" si="37"/>
        <v>4.5</v>
      </c>
      <c r="R37" s="4">
        <f t="shared" si="50"/>
        <v>4500000000</v>
      </c>
      <c r="S37" s="4" t="str">
        <f t="shared" si="38"/>
        <v>No</v>
      </c>
      <c r="T37" s="5" t="str">
        <f t="shared" si="39"/>
        <v/>
      </c>
      <c r="V37" s="20"/>
      <c r="W37" s="8" t="s">
        <v>10</v>
      </c>
      <c r="X37" s="4">
        <v>-7</v>
      </c>
      <c r="Y37" s="4">
        <v>18</v>
      </c>
      <c r="Z37" s="4">
        <v>16</v>
      </c>
      <c r="AA37" s="4">
        <f t="shared" si="40"/>
        <v>17</v>
      </c>
      <c r="AB37" s="4">
        <f t="shared" si="41"/>
        <v>17000000000</v>
      </c>
      <c r="AC37" s="4" t="str">
        <f t="shared" si="42"/>
        <v>Yes</v>
      </c>
      <c r="AD37" s="5"/>
      <c r="AF37" s="20"/>
      <c r="AG37" s="8" t="s">
        <v>10</v>
      </c>
      <c r="AH37" s="4">
        <v>-7</v>
      </c>
      <c r="AI37" s="4"/>
      <c r="AJ37" s="4"/>
      <c r="AK37" s="4" t="e">
        <f t="shared" si="44"/>
        <v>#DIV/0!</v>
      </c>
      <c r="AL37" s="4" t="e">
        <f t="shared" si="45"/>
        <v>#DIV/0!</v>
      </c>
      <c r="AM37" s="4" t="str">
        <f t="shared" si="46"/>
        <v>No</v>
      </c>
      <c r="AN37" s="5" t="str">
        <f t="shared" si="47"/>
        <v/>
      </c>
      <c r="AX37" s="10" t="s">
        <v>17</v>
      </c>
      <c r="AY37" s="10">
        <f>STDEV(AY29,AY31,AY33)</f>
        <v>9.2140983497901077E-2</v>
      </c>
    </row>
    <row r="38" spans="2:58" x14ac:dyDescent="0.2">
      <c r="B38" s="17" t="s">
        <v>24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</row>
    <row r="41" spans="2:58" x14ac:dyDescent="0.2">
      <c r="B41" s="22" t="s">
        <v>11</v>
      </c>
      <c r="C41" s="23"/>
      <c r="D41" s="23"/>
      <c r="E41" s="23"/>
      <c r="F41" s="23"/>
      <c r="G41" s="23"/>
      <c r="H41" s="23"/>
      <c r="I41" s="23"/>
      <c r="J41" s="24"/>
      <c r="L41" s="22" t="s">
        <v>30</v>
      </c>
      <c r="M41" s="23"/>
      <c r="N41" s="23"/>
      <c r="O41" s="23"/>
      <c r="P41" s="23"/>
      <c r="Q41" s="23"/>
      <c r="R41" s="23"/>
      <c r="S41" s="23"/>
      <c r="T41" s="24"/>
      <c r="V41" s="22" t="s">
        <v>31</v>
      </c>
      <c r="W41" s="23"/>
      <c r="X41" s="23"/>
      <c r="Y41" s="23"/>
      <c r="Z41" s="23"/>
      <c r="AA41" s="23"/>
      <c r="AB41" s="23"/>
      <c r="AC41" s="23"/>
      <c r="AD41" s="24"/>
      <c r="AF41" s="22" t="s">
        <v>32</v>
      </c>
      <c r="AG41" s="23"/>
      <c r="AH41" s="23"/>
      <c r="AI41" s="23"/>
      <c r="AJ41" s="23"/>
      <c r="AK41" s="23"/>
      <c r="AL41" s="23"/>
      <c r="AM41" s="23"/>
      <c r="AN41" s="24"/>
    </row>
    <row r="42" spans="2:58" x14ac:dyDescent="0.2">
      <c r="B42" s="9" t="s">
        <v>0</v>
      </c>
      <c r="C42" s="1" t="s">
        <v>1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7</v>
      </c>
      <c r="I42" s="1" t="s">
        <v>8</v>
      </c>
      <c r="J42" s="2" t="s">
        <v>9</v>
      </c>
      <c r="L42" s="9" t="s">
        <v>0</v>
      </c>
      <c r="M42" s="1" t="s">
        <v>1</v>
      </c>
      <c r="N42" s="1" t="s">
        <v>3</v>
      </c>
      <c r="O42" s="1" t="s">
        <v>4</v>
      </c>
      <c r="P42" s="1" t="s">
        <v>5</v>
      </c>
      <c r="Q42" s="1" t="s">
        <v>6</v>
      </c>
      <c r="R42" s="1" t="s">
        <v>7</v>
      </c>
      <c r="S42" s="1" t="s">
        <v>8</v>
      </c>
      <c r="T42" s="2" t="s">
        <v>9</v>
      </c>
      <c r="V42" s="9" t="s">
        <v>0</v>
      </c>
      <c r="W42" s="1" t="s">
        <v>1</v>
      </c>
      <c r="X42" s="1" t="s">
        <v>3</v>
      </c>
      <c r="Y42" s="1" t="s">
        <v>4</v>
      </c>
      <c r="Z42" s="1" t="s">
        <v>5</v>
      </c>
      <c r="AA42" s="1" t="s">
        <v>6</v>
      </c>
      <c r="AB42" s="1" t="s">
        <v>7</v>
      </c>
      <c r="AC42" s="1" t="s">
        <v>8</v>
      </c>
      <c r="AD42" s="2" t="s">
        <v>9</v>
      </c>
      <c r="AF42" s="9" t="s">
        <v>0</v>
      </c>
      <c r="AG42" s="1" t="s">
        <v>1</v>
      </c>
      <c r="AH42" s="1" t="s">
        <v>3</v>
      </c>
      <c r="AI42" s="1" t="s">
        <v>4</v>
      </c>
      <c r="AJ42" s="1" t="s">
        <v>5</v>
      </c>
      <c r="AK42" s="1" t="s">
        <v>6</v>
      </c>
      <c r="AL42" s="1" t="s">
        <v>7</v>
      </c>
      <c r="AM42" s="1" t="s">
        <v>8</v>
      </c>
      <c r="AN42" s="2" t="s">
        <v>9</v>
      </c>
      <c r="AQ42" s="10" t="s">
        <v>15</v>
      </c>
      <c r="AR42" s="10" t="s">
        <v>16</v>
      </c>
      <c r="AT42" s="10" t="s">
        <v>36</v>
      </c>
      <c r="AU42" s="10" t="str">
        <f>B43</f>
        <v>SM*KM vs WT SM</v>
      </c>
      <c r="AV42" s="10" t="s">
        <v>37</v>
      </c>
      <c r="AW42" s="10" t="s">
        <v>18</v>
      </c>
      <c r="AX42" s="10" t="s">
        <v>19</v>
      </c>
      <c r="AY42" s="10" t="s">
        <v>20</v>
      </c>
    </row>
    <row r="43" spans="2:58" x14ac:dyDescent="0.2">
      <c r="B43" s="18" t="s">
        <v>54</v>
      </c>
      <c r="C43" s="6" t="s">
        <v>2</v>
      </c>
      <c r="D43" s="1">
        <v>-1</v>
      </c>
      <c r="E43" s="1" t="s">
        <v>57</v>
      </c>
      <c r="F43" s="1" t="s">
        <v>57</v>
      </c>
      <c r="G43" s="1" t="e">
        <f>AVERAGE(E43:F43)</f>
        <v>#DIV/0!</v>
      </c>
      <c r="H43" s="1" t="e">
        <f>((G43*10^-D43)/50)*20</f>
        <v>#DIV/0!</v>
      </c>
      <c r="I43" s="1" t="str">
        <f>IF(ISNUMBER(G43)=FALSE,"No",(IF(G43&gt;15,"Yes","No")))</f>
        <v>No</v>
      </c>
      <c r="J43" s="2" t="str">
        <f>IF(I43="Yes",H43,"")</f>
        <v/>
      </c>
      <c r="L43" s="18" t="str">
        <f>B43</f>
        <v>SM*KM vs WT SM</v>
      </c>
      <c r="M43" s="6" t="s">
        <v>2</v>
      </c>
      <c r="N43" s="1">
        <v>-2</v>
      </c>
      <c r="O43" s="1" t="s">
        <v>57</v>
      </c>
      <c r="P43" s="1" t="s">
        <v>57</v>
      </c>
      <c r="Q43" s="1" t="e">
        <f>AVERAGE(O43:P43)</f>
        <v>#DIV/0!</v>
      </c>
      <c r="R43" s="1" t="e">
        <f>((Q43*10^-N43)*20)*5</f>
        <v>#DIV/0!</v>
      </c>
      <c r="S43" s="1" t="str">
        <f>IF(ISNUMBER(Q43)=FALSE,"No",(IF(Q43&gt;15,"Yes","No")))</f>
        <v>No</v>
      </c>
      <c r="T43" s="2" t="str">
        <f>IF(S43="Yes",R43,"")</f>
        <v/>
      </c>
      <c r="V43" s="18" t="str">
        <f>B43</f>
        <v>SM*KM vs WT SM</v>
      </c>
      <c r="W43" s="6" t="s">
        <v>2</v>
      </c>
      <c r="X43" s="1">
        <v>-2</v>
      </c>
      <c r="Y43" s="1" t="s">
        <v>57</v>
      </c>
      <c r="Z43" s="1" t="s">
        <v>57</v>
      </c>
      <c r="AA43" s="1" t="e">
        <f>AVERAGE(Y43:Z43)</f>
        <v>#DIV/0!</v>
      </c>
      <c r="AB43" s="1" t="e">
        <f>((AA43*10^-X43)*20)*5</f>
        <v>#DIV/0!</v>
      </c>
      <c r="AC43" s="1" t="str">
        <f>IF(ISNUMBER(AA43)=FALSE,"No",(IF(AA43&gt;15,"Yes","No")))</f>
        <v>No</v>
      </c>
      <c r="AD43" s="2" t="str">
        <f>IF(AC43="Yes",AB43,"")</f>
        <v/>
      </c>
      <c r="AF43" s="18" t="str">
        <f>B43</f>
        <v>SM*KM vs WT SM</v>
      </c>
      <c r="AG43" s="6" t="s">
        <v>2</v>
      </c>
      <c r="AH43" s="1">
        <v>-2</v>
      </c>
      <c r="AI43" s="1" t="s">
        <v>57</v>
      </c>
      <c r="AJ43" s="1" t="s">
        <v>57</v>
      </c>
      <c r="AK43" s="1" t="e">
        <f>AVERAGE(AI43:AJ43)</f>
        <v>#DIV/0!</v>
      </c>
      <c r="AL43" s="1" t="e">
        <f>((AK43*10^-AH43)*20)*5</f>
        <v>#DIV/0!</v>
      </c>
      <c r="AM43" s="1" t="str">
        <f>IF(ISNUMBER(AK43)=FALSE,"No",(IF(AK43&gt;15,"Yes","No")))</f>
        <v>No</v>
      </c>
      <c r="AN43" s="2" t="str">
        <f>IF(AM43="Yes",AL43,"")</f>
        <v/>
      </c>
      <c r="AP43" s="10" t="s">
        <v>11</v>
      </c>
      <c r="AQ43" s="10">
        <f>AVERAGE(J43:J47)</f>
        <v>1140</v>
      </c>
      <c r="AR43" s="10">
        <f>AVERAGE(J48:J51)</f>
        <v>13400000</v>
      </c>
      <c r="AT43" s="21" t="s">
        <v>21</v>
      </c>
      <c r="AU43" s="10" t="s">
        <v>2</v>
      </c>
      <c r="AV43" s="10">
        <f>AQ44</f>
        <v>4200000000</v>
      </c>
      <c r="AW43" s="10">
        <f>AQ43</f>
        <v>1140</v>
      </c>
      <c r="AX43" s="10">
        <f>LN(AV43/AW43)</f>
        <v>15.119566820847192</v>
      </c>
      <c r="AY43" s="10">
        <f>AX43/AX44</f>
        <v>1.8172919389955065</v>
      </c>
    </row>
    <row r="44" spans="2:58" x14ac:dyDescent="0.2">
      <c r="B44" s="19"/>
      <c r="C44" s="7" t="s">
        <v>2</v>
      </c>
      <c r="D44">
        <v>-2</v>
      </c>
      <c r="E44">
        <v>30</v>
      </c>
      <c r="F44">
        <v>27</v>
      </c>
      <c r="G44">
        <f t="shared" ref="G44:G51" si="52">AVERAGE(E44:F44)</f>
        <v>28.5</v>
      </c>
      <c r="H44">
        <f>((G44*10^-D44)/50)*20</f>
        <v>1140</v>
      </c>
      <c r="I44" t="str">
        <f t="shared" ref="I44:I45" si="53">IF(ISNUMBER(G44)=FALSE,"No",(IF(G44&gt;15,"Yes","No")))</f>
        <v>Yes</v>
      </c>
      <c r="J44" s="3">
        <f t="shared" ref="J44:J51" si="54">IF(I44="Yes",H44,"")</f>
        <v>1140</v>
      </c>
      <c r="L44" s="19"/>
      <c r="M44" s="7" t="s">
        <v>2</v>
      </c>
      <c r="N44">
        <v>-3</v>
      </c>
      <c r="O44" s="1" t="s">
        <v>57</v>
      </c>
      <c r="P44" s="1" t="s">
        <v>57</v>
      </c>
      <c r="Q44" t="e">
        <f t="shared" ref="Q44:Q50" si="55">AVERAGE(O44:P44)</f>
        <v>#DIV/0!</v>
      </c>
      <c r="R44" t="e">
        <f>((Q44*10^-N44)*20)*5</f>
        <v>#DIV/0!</v>
      </c>
      <c r="S44" t="str">
        <f t="shared" ref="S44:S51" si="56">IF(ISNUMBER(Q44)=FALSE,"No",(IF(Q44&gt;15,"Yes","No")))</f>
        <v>No</v>
      </c>
      <c r="T44" s="3" t="str">
        <f t="shared" ref="T44:T51" si="57">IF(S44="Yes",R44,"")</f>
        <v/>
      </c>
      <c r="V44" s="19"/>
      <c r="W44" s="7" t="s">
        <v>2</v>
      </c>
      <c r="X44">
        <v>-3</v>
      </c>
      <c r="Y44" s="1" t="s">
        <v>57</v>
      </c>
      <c r="Z44" s="1" t="s">
        <v>57</v>
      </c>
      <c r="AA44" t="e">
        <f t="shared" ref="AA44:AA51" si="58">AVERAGE(Y44:Z44)</f>
        <v>#DIV/0!</v>
      </c>
      <c r="AB44" t="e">
        <f t="shared" ref="AB44:AB51" si="59">((AA44*10^-X44)*20)*5</f>
        <v>#DIV/0!</v>
      </c>
      <c r="AC44" t="str">
        <f t="shared" ref="AC44:AC51" si="60">IF(ISNUMBER(AA44)=FALSE,"No",(IF(AA44&gt;15,"Yes","No")))</f>
        <v>No</v>
      </c>
      <c r="AD44" s="3" t="str">
        <f t="shared" ref="AD44:AD51" si="61">IF(AC44="Yes",AB44,"")</f>
        <v/>
      </c>
      <c r="AF44" s="19"/>
      <c r="AG44" s="7" t="s">
        <v>2</v>
      </c>
      <c r="AH44">
        <v>-3</v>
      </c>
      <c r="AI44" s="1" t="s">
        <v>57</v>
      </c>
      <c r="AJ44" s="1" t="s">
        <v>57</v>
      </c>
      <c r="AK44" t="e">
        <f t="shared" ref="AK44:AK51" si="62">AVERAGE(AI44:AJ44)</f>
        <v>#DIV/0!</v>
      </c>
      <c r="AL44" t="e">
        <f t="shared" ref="AL44:AL51" si="63">((AK44*10^-AH44)*20)*5</f>
        <v>#DIV/0!</v>
      </c>
      <c r="AM44" t="str">
        <f t="shared" ref="AM44:AM51" si="64">IF(ISNUMBER(AK44)=FALSE,"No",(IF(AK44&gt;15,"Yes","No")))</f>
        <v>No</v>
      </c>
      <c r="AN44" s="3" t="str">
        <f t="shared" ref="AN44:AN51" si="65">IF(AM44="Yes",AL44,"")</f>
        <v/>
      </c>
      <c r="AP44" s="10" t="s">
        <v>33</v>
      </c>
      <c r="AQ44" s="10">
        <f>AVERAGE(T43:T47)</f>
        <v>4200000000</v>
      </c>
      <c r="AR44" s="10">
        <f>AVERAGE(T48:T51)</f>
        <v>55000000000</v>
      </c>
      <c r="AT44" s="21"/>
      <c r="AU44" s="10" t="s">
        <v>10</v>
      </c>
      <c r="AV44" s="10">
        <f>AR44</f>
        <v>55000000000</v>
      </c>
      <c r="AW44" s="10">
        <f>AR43</f>
        <v>13400000</v>
      </c>
      <c r="AX44" s="10">
        <f t="shared" ref="AX44:AX48" si="66">LN(AV44/AW44)</f>
        <v>8.3198337572577419</v>
      </c>
      <c r="AY44" s="10"/>
    </row>
    <row r="45" spans="2:58" x14ac:dyDescent="0.2">
      <c r="B45" s="19"/>
      <c r="C45" s="7" t="s">
        <v>2</v>
      </c>
      <c r="D45">
        <v>-3</v>
      </c>
      <c r="E45">
        <v>7</v>
      </c>
      <c r="F45">
        <v>8</v>
      </c>
      <c r="G45">
        <f t="shared" si="52"/>
        <v>7.5</v>
      </c>
      <c r="H45">
        <f t="shared" ref="H45:H51" si="67">((G45*10^-D45)/50)*20</f>
        <v>3000</v>
      </c>
      <c r="I45" t="str">
        <f t="shared" si="53"/>
        <v>No</v>
      </c>
      <c r="J45" s="3" t="str">
        <f t="shared" si="54"/>
        <v/>
      </c>
      <c r="L45" s="19"/>
      <c r="M45" s="7" t="s">
        <v>2</v>
      </c>
      <c r="N45">
        <v>-4</v>
      </c>
      <c r="O45" s="1" t="s">
        <v>57</v>
      </c>
      <c r="P45" s="1" t="s">
        <v>57</v>
      </c>
      <c r="Q45" t="e">
        <f t="shared" si="55"/>
        <v>#DIV/0!</v>
      </c>
      <c r="R45" t="e">
        <f>((Q45*10^-N45)*20)*5</f>
        <v>#DIV/0!</v>
      </c>
      <c r="S45" t="str">
        <f t="shared" si="56"/>
        <v>No</v>
      </c>
      <c r="T45" s="3" t="str">
        <f t="shared" si="57"/>
        <v/>
      </c>
      <c r="V45" s="19"/>
      <c r="W45" s="7" t="s">
        <v>2</v>
      </c>
      <c r="X45">
        <v>-4</v>
      </c>
      <c r="Y45" s="1" t="s">
        <v>57</v>
      </c>
      <c r="Z45" s="1" t="s">
        <v>57</v>
      </c>
      <c r="AA45" t="e">
        <f t="shared" si="58"/>
        <v>#DIV/0!</v>
      </c>
      <c r="AB45" t="e">
        <f t="shared" si="59"/>
        <v>#DIV/0!</v>
      </c>
      <c r="AC45" t="str">
        <f t="shared" si="60"/>
        <v>No</v>
      </c>
      <c r="AD45" s="3" t="str">
        <f t="shared" si="61"/>
        <v/>
      </c>
      <c r="AF45" s="19"/>
      <c r="AG45" s="7" t="s">
        <v>2</v>
      </c>
      <c r="AH45">
        <v>-4</v>
      </c>
      <c r="AI45" s="1" t="s">
        <v>57</v>
      </c>
      <c r="AJ45" s="1" t="s">
        <v>57</v>
      </c>
      <c r="AK45" t="e">
        <f t="shared" si="62"/>
        <v>#DIV/0!</v>
      </c>
      <c r="AL45" t="e">
        <f t="shared" si="63"/>
        <v>#DIV/0!</v>
      </c>
      <c r="AM45" t="str">
        <f t="shared" si="64"/>
        <v>No</v>
      </c>
      <c r="AN45" s="3" t="str">
        <f t="shared" si="65"/>
        <v/>
      </c>
      <c r="AP45" s="10" t="s">
        <v>34</v>
      </c>
      <c r="AQ45" s="10">
        <f>AVERAGE(AD43:AD47)</f>
        <v>2500000000</v>
      </c>
      <c r="AR45" s="10">
        <f>AVERAGE(AD48:AD51)</f>
        <v>42000000000</v>
      </c>
      <c r="AT45" s="21" t="s">
        <v>22</v>
      </c>
      <c r="AU45" s="10" t="s">
        <v>2</v>
      </c>
      <c r="AV45" s="10">
        <f>AQ45</f>
        <v>2500000000</v>
      </c>
      <c r="AW45" s="10">
        <f>AQ43</f>
        <v>1140</v>
      </c>
      <c r="AX45" s="10">
        <f t="shared" si="66"/>
        <v>14.600773027432025</v>
      </c>
      <c r="AY45" s="10">
        <f>AX45/AX46</f>
        <v>1.8137222794381989</v>
      </c>
    </row>
    <row r="46" spans="2:58" x14ac:dyDescent="0.2">
      <c r="B46" s="19"/>
      <c r="C46" s="7" t="s">
        <v>2</v>
      </c>
      <c r="D46">
        <v>-4</v>
      </c>
      <c r="G46" t="e">
        <f t="shared" si="52"/>
        <v>#DIV/0!</v>
      </c>
      <c r="H46" t="e">
        <f t="shared" si="67"/>
        <v>#DIV/0!</v>
      </c>
      <c r="I46" t="str">
        <f>IF(ISNUMBER(G46)=FALSE,"No",(IF(G46&gt;15,"Yes","No")))</f>
        <v>No</v>
      </c>
      <c r="J46" s="3" t="str">
        <f t="shared" si="54"/>
        <v/>
      </c>
      <c r="L46" s="19"/>
      <c r="M46" s="7" t="s">
        <v>2</v>
      </c>
      <c r="N46">
        <v>-5</v>
      </c>
      <c r="O46" s="1" t="s">
        <v>57</v>
      </c>
      <c r="P46" s="1" t="s">
        <v>57</v>
      </c>
      <c r="Q46" t="e">
        <f t="shared" si="55"/>
        <v>#DIV/0!</v>
      </c>
      <c r="R46" t="e">
        <f t="shared" ref="R46:R51" si="68">((Q46*10^-N46)*20)*5</f>
        <v>#DIV/0!</v>
      </c>
      <c r="S46" t="str">
        <f t="shared" si="56"/>
        <v>No</v>
      </c>
      <c r="T46" s="3" t="str">
        <f t="shared" si="57"/>
        <v/>
      </c>
      <c r="V46" s="19"/>
      <c r="W46" s="7" t="s">
        <v>2</v>
      </c>
      <c r="X46">
        <v>-5</v>
      </c>
      <c r="Y46" s="1" t="s">
        <v>57</v>
      </c>
      <c r="Z46" s="1" t="s">
        <v>57</v>
      </c>
      <c r="AA46" t="e">
        <f t="shared" si="58"/>
        <v>#DIV/0!</v>
      </c>
      <c r="AB46" t="e">
        <f t="shared" si="59"/>
        <v>#DIV/0!</v>
      </c>
      <c r="AC46" t="str">
        <f t="shared" si="60"/>
        <v>No</v>
      </c>
      <c r="AD46" s="3" t="str">
        <f t="shared" si="61"/>
        <v/>
      </c>
      <c r="AF46" s="19"/>
      <c r="AG46" s="7" t="s">
        <v>2</v>
      </c>
      <c r="AH46">
        <v>-5</v>
      </c>
      <c r="AI46" s="1" t="s">
        <v>57</v>
      </c>
      <c r="AJ46" s="1" t="s">
        <v>57</v>
      </c>
      <c r="AK46" t="e">
        <f t="shared" si="62"/>
        <v>#DIV/0!</v>
      </c>
      <c r="AL46" t="e">
        <f t="shared" si="63"/>
        <v>#DIV/0!</v>
      </c>
      <c r="AM46" t="str">
        <f t="shared" si="64"/>
        <v>No</v>
      </c>
      <c r="AN46" s="3" t="str">
        <f t="shared" si="65"/>
        <v/>
      </c>
      <c r="AP46" s="10" t="s">
        <v>35</v>
      </c>
      <c r="AQ46" s="10">
        <f>AVERAGE(AN43:AN47)</f>
        <v>1900000000</v>
      </c>
      <c r="AR46" s="10">
        <f>AVERAGE(AN48:AN51)</f>
        <v>44000000000</v>
      </c>
      <c r="AT46" s="21"/>
      <c r="AU46" s="10" t="s">
        <v>10</v>
      </c>
      <c r="AV46" s="10">
        <f>AR45</f>
        <v>42000000000</v>
      </c>
      <c r="AW46" s="10">
        <f>AR43</f>
        <v>13400000</v>
      </c>
      <c r="AX46" s="10">
        <f t="shared" si="66"/>
        <v>8.0501701903086396</v>
      </c>
      <c r="AY46" s="10"/>
    </row>
    <row r="47" spans="2:58" x14ac:dyDescent="0.2">
      <c r="B47" s="19"/>
      <c r="C47" s="8" t="s">
        <v>2</v>
      </c>
      <c r="D47" s="4">
        <v>-5</v>
      </c>
      <c r="E47" s="4"/>
      <c r="F47" s="4"/>
      <c r="G47" s="4" t="e">
        <f t="shared" si="52"/>
        <v>#DIV/0!</v>
      </c>
      <c r="H47" s="4" t="e">
        <f t="shared" si="67"/>
        <v>#DIV/0!</v>
      </c>
      <c r="I47" s="4" t="str">
        <f t="shared" ref="I47:I51" si="69">IF(ISNUMBER(G47)=FALSE,"No",(IF(G47&gt;15,"Yes","No")))</f>
        <v>No</v>
      </c>
      <c r="J47" s="5" t="str">
        <f t="shared" si="54"/>
        <v/>
      </c>
      <c r="L47" s="19"/>
      <c r="M47" s="8" t="s">
        <v>2</v>
      </c>
      <c r="N47" s="4">
        <v>-6</v>
      </c>
      <c r="O47" s="4">
        <v>46</v>
      </c>
      <c r="P47" s="4">
        <v>38</v>
      </c>
      <c r="Q47" s="4">
        <f t="shared" si="55"/>
        <v>42</v>
      </c>
      <c r="R47" s="4">
        <f t="shared" si="68"/>
        <v>4200000000</v>
      </c>
      <c r="S47" s="4" t="str">
        <f t="shared" si="56"/>
        <v>Yes</v>
      </c>
      <c r="T47" s="5">
        <f t="shared" si="57"/>
        <v>4200000000</v>
      </c>
      <c r="V47" s="19"/>
      <c r="W47" s="8" t="s">
        <v>2</v>
      </c>
      <c r="X47" s="4">
        <v>-6</v>
      </c>
      <c r="Y47" s="4">
        <v>20</v>
      </c>
      <c r="Z47" s="4">
        <v>30</v>
      </c>
      <c r="AA47" s="4">
        <f t="shared" si="58"/>
        <v>25</v>
      </c>
      <c r="AB47" s="4">
        <f t="shared" si="59"/>
        <v>2500000000</v>
      </c>
      <c r="AC47" s="4" t="str">
        <f t="shared" si="60"/>
        <v>Yes</v>
      </c>
      <c r="AD47" s="5">
        <f t="shared" si="61"/>
        <v>2500000000</v>
      </c>
      <c r="AF47" s="19"/>
      <c r="AG47" s="8" t="s">
        <v>2</v>
      </c>
      <c r="AH47" s="4">
        <v>-6</v>
      </c>
      <c r="AI47" s="4">
        <v>15</v>
      </c>
      <c r="AJ47" s="4">
        <v>23</v>
      </c>
      <c r="AK47" s="4">
        <f t="shared" si="62"/>
        <v>19</v>
      </c>
      <c r="AL47" s="4">
        <f t="shared" si="63"/>
        <v>1900000000</v>
      </c>
      <c r="AM47" s="4" t="str">
        <f t="shared" si="64"/>
        <v>Yes</v>
      </c>
      <c r="AN47" s="5">
        <f t="shared" si="65"/>
        <v>1900000000</v>
      </c>
      <c r="AT47" s="21" t="s">
        <v>23</v>
      </c>
      <c r="AU47" s="10" t="s">
        <v>2</v>
      </c>
      <c r="AV47" s="10">
        <f>AQ46</f>
        <v>1900000000</v>
      </c>
      <c r="AW47" s="10">
        <f>AQ43</f>
        <v>1140</v>
      </c>
      <c r="AX47" s="10">
        <f t="shared" si="66"/>
        <v>14.326336181730264</v>
      </c>
      <c r="AY47" s="10">
        <f>AX47/AX48</f>
        <v>1.7694064880009535</v>
      </c>
    </row>
    <row r="48" spans="2:58" x14ac:dyDescent="0.2">
      <c r="B48" s="19"/>
      <c r="C48" s="6" t="s">
        <v>10</v>
      </c>
      <c r="D48" s="1">
        <v>-4</v>
      </c>
      <c r="E48" s="1" t="s">
        <v>57</v>
      </c>
      <c r="F48" s="1" t="s">
        <v>57</v>
      </c>
      <c r="G48" s="1" t="e">
        <f t="shared" si="52"/>
        <v>#DIV/0!</v>
      </c>
      <c r="H48" s="1" t="e">
        <f t="shared" si="67"/>
        <v>#DIV/0!</v>
      </c>
      <c r="I48" s="1" t="str">
        <f t="shared" si="69"/>
        <v>No</v>
      </c>
      <c r="J48" s="2" t="str">
        <f t="shared" si="54"/>
        <v/>
      </c>
      <c r="L48" s="19"/>
      <c r="M48" s="6" t="s">
        <v>10</v>
      </c>
      <c r="N48" s="1">
        <v>-4</v>
      </c>
      <c r="O48" s="12" t="s">
        <v>57</v>
      </c>
      <c r="P48" s="12" t="s">
        <v>57</v>
      </c>
      <c r="Q48" s="1" t="e">
        <f t="shared" si="55"/>
        <v>#DIV/0!</v>
      </c>
      <c r="R48" s="1" t="e">
        <f t="shared" si="68"/>
        <v>#DIV/0!</v>
      </c>
      <c r="S48" s="1" t="str">
        <f t="shared" si="56"/>
        <v>No</v>
      </c>
      <c r="T48" s="2" t="str">
        <f t="shared" si="57"/>
        <v/>
      </c>
      <c r="V48" s="19"/>
      <c r="W48" s="6" t="s">
        <v>10</v>
      </c>
      <c r="X48" s="1">
        <v>-4</v>
      </c>
      <c r="Y48" s="1" t="s">
        <v>57</v>
      </c>
      <c r="Z48" s="1" t="s">
        <v>57</v>
      </c>
      <c r="AA48" s="1" t="e">
        <f t="shared" si="58"/>
        <v>#DIV/0!</v>
      </c>
      <c r="AB48" s="1" t="e">
        <f t="shared" si="59"/>
        <v>#DIV/0!</v>
      </c>
      <c r="AC48" s="1" t="str">
        <f t="shared" si="60"/>
        <v>No</v>
      </c>
      <c r="AD48" s="2" t="str">
        <f t="shared" si="61"/>
        <v/>
      </c>
      <c r="AF48" s="19"/>
      <c r="AG48" s="6" t="s">
        <v>10</v>
      </c>
      <c r="AH48" s="1">
        <v>-4</v>
      </c>
      <c r="AI48" s="1" t="s">
        <v>57</v>
      </c>
      <c r="AJ48" s="1" t="s">
        <v>57</v>
      </c>
      <c r="AK48" s="1" t="e">
        <f t="shared" si="62"/>
        <v>#DIV/0!</v>
      </c>
      <c r="AL48" s="1" t="e">
        <f t="shared" si="63"/>
        <v>#DIV/0!</v>
      </c>
      <c r="AM48" s="1" t="str">
        <f t="shared" si="64"/>
        <v>No</v>
      </c>
      <c r="AN48" s="2" t="str">
        <f t="shared" si="65"/>
        <v/>
      </c>
      <c r="AT48" s="21"/>
      <c r="AU48" s="10" t="s">
        <v>10</v>
      </c>
      <c r="AV48" s="10">
        <f>AR46</f>
        <v>44000000000</v>
      </c>
      <c r="AW48" s="10">
        <f>AR43</f>
        <v>13400000</v>
      </c>
      <c r="AX48" s="10">
        <f t="shared" si="66"/>
        <v>8.0966902059435331</v>
      </c>
      <c r="AY48" s="10"/>
    </row>
    <row r="49" spans="2:51" x14ac:dyDescent="0.2">
      <c r="B49" s="19"/>
      <c r="C49" s="7" t="s">
        <v>10</v>
      </c>
      <c r="D49">
        <v>-5</v>
      </c>
      <c r="E49" s="1" t="s">
        <v>57</v>
      </c>
      <c r="F49" s="1" t="s">
        <v>57</v>
      </c>
      <c r="G49" t="e">
        <f t="shared" si="52"/>
        <v>#DIV/0!</v>
      </c>
      <c r="H49" t="e">
        <f t="shared" si="67"/>
        <v>#DIV/0!</v>
      </c>
      <c r="I49" t="str">
        <f t="shared" si="69"/>
        <v>No</v>
      </c>
      <c r="J49" s="3" t="str">
        <f t="shared" si="54"/>
        <v/>
      </c>
      <c r="L49" s="19"/>
      <c r="M49" s="7" t="s">
        <v>10</v>
      </c>
      <c r="N49">
        <v>-5</v>
      </c>
      <c r="O49" s="12" t="s">
        <v>57</v>
      </c>
      <c r="P49" s="12" t="s">
        <v>57</v>
      </c>
      <c r="Q49" t="e">
        <f t="shared" si="55"/>
        <v>#DIV/0!</v>
      </c>
      <c r="R49" t="e">
        <f t="shared" si="68"/>
        <v>#DIV/0!</v>
      </c>
      <c r="S49" t="str">
        <f t="shared" si="56"/>
        <v>No</v>
      </c>
      <c r="T49" s="3" t="str">
        <f t="shared" si="57"/>
        <v/>
      </c>
      <c r="V49" s="19"/>
      <c r="W49" s="7" t="s">
        <v>10</v>
      </c>
      <c r="X49">
        <v>-5</v>
      </c>
      <c r="Y49" s="1" t="s">
        <v>57</v>
      </c>
      <c r="Z49" s="1" t="s">
        <v>57</v>
      </c>
      <c r="AA49" t="e">
        <f t="shared" si="58"/>
        <v>#DIV/0!</v>
      </c>
      <c r="AB49" t="e">
        <f t="shared" si="59"/>
        <v>#DIV/0!</v>
      </c>
      <c r="AC49" t="str">
        <f t="shared" si="60"/>
        <v>No</v>
      </c>
      <c r="AD49" s="3" t="str">
        <f t="shared" si="61"/>
        <v/>
      </c>
      <c r="AF49" s="19"/>
      <c r="AG49" s="7" t="s">
        <v>10</v>
      </c>
      <c r="AH49">
        <v>-5</v>
      </c>
      <c r="AI49" s="1" t="s">
        <v>57</v>
      </c>
      <c r="AJ49" s="1" t="s">
        <v>57</v>
      </c>
      <c r="AK49" t="e">
        <f t="shared" si="62"/>
        <v>#DIV/0!</v>
      </c>
      <c r="AL49" t="e">
        <f t="shared" si="63"/>
        <v>#DIV/0!</v>
      </c>
      <c r="AM49" t="str">
        <f t="shared" si="64"/>
        <v>No</v>
      </c>
      <c r="AN49" s="3" t="str">
        <f t="shared" si="65"/>
        <v/>
      </c>
    </row>
    <row r="50" spans="2:51" x14ac:dyDescent="0.2">
      <c r="B50" s="19"/>
      <c r="C50" s="7" t="s">
        <v>10</v>
      </c>
      <c r="D50">
        <v>-6</v>
      </c>
      <c r="E50">
        <v>37</v>
      </c>
      <c r="F50">
        <v>30</v>
      </c>
      <c r="G50">
        <f t="shared" si="52"/>
        <v>33.5</v>
      </c>
      <c r="H50">
        <f t="shared" si="67"/>
        <v>13400000</v>
      </c>
      <c r="I50" t="str">
        <f t="shared" si="69"/>
        <v>Yes</v>
      </c>
      <c r="J50" s="3">
        <f t="shared" si="54"/>
        <v>13400000</v>
      </c>
      <c r="L50" s="19"/>
      <c r="M50" s="7" t="s">
        <v>10</v>
      </c>
      <c r="N50">
        <v>-6</v>
      </c>
      <c r="O50" s="12" t="s">
        <v>57</v>
      </c>
      <c r="P50" s="12" t="s">
        <v>57</v>
      </c>
      <c r="Q50" t="e">
        <f t="shared" si="55"/>
        <v>#DIV/0!</v>
      </c>
      <c r="R50" t="e">
        <f t="shared" si="68"/>
        <v>#DIV/0!</v>
      </c>
      <c r="S50" t="str">
        <f t="shared" si="56"/>
        <v>No</v>
      </c>
      <c r="T50" s="3"/>
      <c r="V50" s="19"/>
      <c r="W50" s="7" t="s">
        <v>10</v>
      </c>
      <c r="X50">
        <v>-6</v>
      </c>
      <c r="Y50" s="1" t="s">
        <v>57</v>
      </c>
      <c r="Z50" s="1" t="s">
        <v>57</v>
      </c>
      <c r="AA50" t="e">
        <f t="shared" si="58"/>
        <v>#DIV/0!</v>
      </c>
      <c r="AB50" t="e">
        <f t="shared" si="59"/>
        <v>#DIV/0!</v>
      </c>
      <c r="AC50" t="str">
        <f t="shared" si="60"/>
        <v>No</v>
      </c>
      <c r="AD50" s="3"/>
      <c r="AF50" s="19"/>
      <c r="AG50" s="7" t="s">
        <v>10</v>
      </c>
      <c r="AH50">
        <v>-6</v>
      </c>
      <c r="AI50" s="1" t="s">
        <v>57</v>
      </c>
      <c r="AJ50" s="1" t="s">
        <v>57</v>
      </c>
      <c r="AK50" t="e">
        <f t="shared" si="62"/>
        <v>#DIV/0!</v>
      </c>
      <c r="AL50" t="e">
        <f t="shared" si="63"/>
        <v>#DIV/0!</v>
      </c>
      <c r="AM50" t="str">
        <f t="shared" si="64"/>
        <v>No</v>
      </c>
      <c r="AN50" s="3"/>
      <c r="AX50" s="10" t="s">
        <v>6</v>
      </c>
      <c r="AY50" s="10">
        <f>AVERAGE(AY43,AY45,AY47)</f>
        <v>1.8001402354782197</v>
      </c>
    </row>
    <row r="51" spans="2:51" x14ac:dyDescent="0.2">
      <c r="B51" s="20"/>
      <c r="C51" s="8" t="s">
        <v>10</v>
      </c>
      <c r="D51" s="4">
        <v>-7</v>
      </c>
      <c r="E51" s="4">
        <v>3</v>
      </c>
      <c r="F51" s="4">
        <v>4</v>
      </c>
      <c r="G51" s="4">
        <f t="shared" si="52"/>
        <v>3.5</v>
      </c>
      <c r="H51" s="4">
        <f t="shared" si="67"/>
        <v>14000000</v>
      </c>
      <c r="I51" s="4" t="str">
        <f t="shared" si="69"/>
        <v>No</v>
      </c>
      <c r="J51" s="5" t="str">
        <f t="shared" si="54"/>
        <v/>
      </c>
      <c r="L51" s="20"/>
      <c r="M51" s="8" t="s">
        <v>10</v>
      </c>
      <c r="N51" s="4">
        <v>-7</v>
      </c>
      <c r="O51" s="11">
        <v>60</v>
      </c>
      <c r="P51" s="11">
        <v>55</v>
      </c>
      <c r="Q51" s="4">
        <f>P51</f>
        <v>55</v>
      </c>
      <c r="R51" s="4">
        <f t="shared" si="68"/>
        <v>55000000000</v>
      </c>
      <c r="S51" s="4" t="str">
        <f t="shared" si="56"/>
        <v>Yes</v>
      </c>
      <c r="T51" s="5">
        <f t="shared" si="57"/>
        <v>55000000000</v>
      </c>
      <c r="V51" s="20"/>
      <c r="W51" s="8" t="s">
        <v>10</v>
      </c>
      <c r="X51" s="4">
        <v>-7</v>
      </c>
      <c r="Y51">
        <v>44</v>
      </c>
      <c r="Z51">
        <v>40</v>
      </c>
      <c r="AA51" s="4">
        <f t="shared" si="58"/>
        <v>42</v>
      </c>
      <c r="AB51" s="4">
        <f t="shared" si="59"/>
        <v>42000000000</v>
      </c>
      <c r="AC51" s="4" t="str">
        <f t="shared" si="60"/>
        <v>Yes</v>
      </c>
      <c r="AD51" s="5">
        <f t="shared" si="61"/>
        <v>42000000000</v>
      </c>
      <c r="AF51" s="20"/>
      <c r="AG51" s="8" t="s">
        <v>10</v>
      </c>
      <c r="AH51" s="4">
        <v>-7</v>
      </c>
      <c r="AI51">
        <v>52</v>
      </c>
      <c r="AJ51">
        <v>36</v>
      </c>
      <c r="AK51" s="4">
        <f t="shared" si="62"/>
        <v>44</v>
      </c>
      <c r="AL51" s="4">
        <f t="shared" si="63"/>
        <v>44000000000</v>
      </c>
      <c r="AM51" s="4" t="str">
        <f t="shared" si="64"/>
        <v>Yes</v>
      </c>
      <c r="AN51" s="5">
        <f t="shared" si="65"/>
        <v>44000000000</v>
      </c>
      <c r="AX51" s="10" t="s">
        <v>17</v>
      </c>
      <c r="AY51" s="10">
        <f>STDEV(AY43,AY45,AY47)</f>
        <v>2.667598250929178E-2</v>
      </c>
    </row>
    <row r="52" spans="2:51" x14ac:dyDescent="0.2">
      <c r="B52" s="17" t="s">
        <v>24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</row>
    <row r="54" spans="2:51" x14ac:dyDescent="0.2">
      <c r="B54" s="22" t="s">
        <v>11</v>
      </c>
      <c r="C54" s="23"/>
      <c r="D54" s="23"/>
      <c r="E54" s="23"/>
      <c r="F54" s="23"/>
      <c r="G54" s="23"/>
      <c r="H54" s="23"/>
      <c r="I54" s="23"/>
      <c r="J54" s="24"/>
      <c r="L54" s="22" t="s">
        <v>30</v>
      </c>
      <c r="M54" s="23"/>
      <c r="N54" s="23"/>
      <c r="O54" s="23"/>
      <c r="P54" s="23"/>
      <c r="Q54" s="23"/>
      <c r="R54" s="23"/>
      <c r="S54" s="23"/>
      <c r="T54" s="24"/>
      <c r="V54" s="22" t="s">
        <v>31</v>
      </c>
      <c r="W54" s="23"/>
      <c r="X54" s="23"/>
      <c r="Y54" s="23"/>
      <c r="Z54" s="23"/>
      <c r="AA54" s="23"/>
      <c r="AB54" s="23"/>
      <c r="AC54" s="23"/>
      <c r="AD54" s="24"/>
      <c r="AF54" s="22" t="s">
        <v>32</v>
      </c>
      <c r="AG54" s="23"/>
      <c r="AH54" s="23"/>
      <c r="AI54" s="23"/>
      <c r="AJ54" s="23"/>
      <c r="AK54" s="23"/>
      <c r="AL54" s="23"/>
      <c r="AM54" s="23"/>
      <c r="AN54" s="24"/>
    </row>
    <row r="55" spans="2:51" x14ac:dyDescent="0.2">
      <c r="B55" s="9" t="s">
        <v>0</v>
      </c>
      <c r="C55" s="1" t="s">
        <v>1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2" t="s">
        <v>9</v>
      </c>
      <c r="L55" s="9" t="s">
        <v>0</v>
      </c>
      <c r="M55" s="1" t="s">
        <v>1</v>
      </c>
      <c r="N55" s="1" t="s">
        <v>3</v>
      </c>
      <c r="O55" s="1" t="s">
        <v>4</v>
      </c>
      <c r="P55" s="1" t="s">
        <v>5</v>
      </c>
      <c r="Q55" s="1" t="s">
        <v>6</v>
      </c>
      <c r="R55" s="1" t="s">
        <v>7</v>
      </c>
      <c r="S55" s="1" t="s">
        <v>8</v>
      </c>
      <c r="T55" s="2" t="s">
        <v>9</v>
      </c>
      <c r="V55" s="9" t="s">
        <v>0</v>
      </c>
      <c r="W55" s="1" t="s">
        <v>1</v>
      </c>
      <c r="X55" s="1" t="s">
        <v>3</v>
      </c>
      <c r="Y55" s="1" t="s">
        <v>4</v>
      </c>
      <c r="Z55" s="1" t="s">
        <v>5</v>
      </c>
      <c r="AA55" s="1" t="s">
        <v>6</v>
      </c>
      <c r="AB55" s="1" t="s">
        <v>7</v>
      </c>
      <c r="AC55" s="1" t="s">
        <v>8</v>
      </c>
      <c r="AD55" s="2" t="s">
        <v>9</v>
      </c>
      <c r="AF55" s="9" t="s">
        <v>0</v>
      </c>
      <c r="AG55" s="1" t="s">
        <v>1</v>
      </c>
      <c r="AH55" s="1" t="s">
        <v>3</v>
      </c>
      <c r="AI55" s="1" t="s">
        <v>4</v>
      </c>
      <c r="AJ55" s="1" t="s">
        <v>5</v>
      </c>
      <c r="AK55" s="1" t="s">
        <v>6</v>
      </c>
      <c r="AL55" s="1" t="s">
        <v>7</v>
      </c>
      <c r="AM55" s="1" t="s">
        <v>8</v>
      </c>
      <c r="AN55" s="2" t="s">
        <v>9</v>
      </c>
      <c r="AQ55" s="10" t="s">
        <v>15</v>
      </c>
      <c r="AR55" s="10" t="s">
        <v>16</v>
      </c>
      <c r="AT55" s="10" t="s">
        <v>36</v>
      </c>
      <c r="AU55" s="10" t="str">
        <f>B56</f>
        <v>SM3832 KM vs WT SM</v>
      </c>
      <c r="AV55" s="10" t="s">
        <v>37</v>
      </c>
      <c r="AW55" s="10" t="s">
        <v>18</v>
      </c>
      <c r="AX55" s="10" t="s">
        <v>19</v>
      </c>
      <c r="AY55" s="10" t="s">
        <v>20</v>
      </c>
    </row>
    <row r="56" spans="2:51" x14ac:dyDescent="0.2">
      <c r="B56" s="18" t="s">
        <v>55</v>
      </c>
      <c r="C56" s="6" t="s">
        <v>2</v>
      </c>
      <c r="D56" s="1">
        <v>-1</v>
      </c>
      <c r="E56" s="1" t="s">
        <v>57</v>
      </c>
      <c r="F56" s="1" t="s">
        <v>57</v>
      </c>
      <c r="G56" s="1" t="e">
        <f>AVERAGE(E56:F56)</f>
        <v>#DIV/0!</v>
      </c>
      <c r="H56" s="1" t="e">
        <f>((G56*10^-D56)/50)*20</f>
        <v>#DIV/0!</v>
      </c>
      <c r="I56" s="1" t="str">
        <f>IF(ISNUMBER(G56)=FALSE,"No",(IF(G56&gt;15,"Yes","No")))</f>
        <v>No</v>
      </c>
      <c r="J56" s="2" t="str">
        <f>IF(I56="Yes",H56,"")</f>
        <v/>
      </c>
      <c r="L56" s="18" t="str">
        <f>B56</f>
        <v>SM3832 KM vs WT SM</v>
      </c>
      <c r="M56" s="6" t="s">
        <v>2</v>
      </c>
      <c r="N56" s="1">
        <v>-2</v>
      </c>
      <c r="O56" s="1" t="s">
        <v>57</v>
      </c>
      <c r="P56" s="1" t="s">
        <v>57</v>
      </c>
      <c r="Q56" s="1" t="e">
        <f>AVERAGE(O56:P56)</f>
        <v>#DIV/0!</v>
      </c>
      <c r="R56" s="1" t="e">
        <f>((Q56*10^-N56)*20)*5</f>
        <v>#DIV/0!</v>
      </c>
      <c r="S56" s="1" t="str">
        <f>IF(ISNUMBER(Q56)=FALSE,"No",(IF(Q56&gt;15,"Yes","No")))</f>
        <v>No</v>
      </c>
      <c r="T56" s="2" t="str">
        <f>IF(S56="Yes",R56,"")</f>
        <v/>
      </c>
      <c r="V56" s="18" t="str">
        <f>B56</f>
        <v>SM3832 KM vs WT SM</v>
      </c>
      <c r="W56" s="6" t="s">
        <v>2</v>
      </c>
      <c r="X56" s="1">
        <v>-2</v>
      </c>
      <c r="Y56" s="1" t="s">
        <v>57</v>
      </c>
      <c r="Z56" s="1" t="s">
        <v>57</v>
      </c>
      <c r="AA56" s="1" t="e">
        <f>AVERAGE(Y56:Z56)</f>
        <v>#DIV/0!</v>
      </c>
      <c r="AB56" s="1" t="e">
        <f>((AA56*10^-X56)*20)*5</f>
        <v>#DIV/0!</v>
      </c>
      <c r="AC56" s="1" t="str">
        <f>IF(ISNUMBER(AA56)=FALSE,"No",(IF(AA56&gt;15,"Yes","No")))</f>
        <v>No</v>
      </c>
      <c r="AD56" s="2" t="str">
        <f>IF(AC56="Yes",AB56,"")</f>
        <v/>
      </c>
      <c r="AF56" s="18" t="str">
        <f>B56</f>
        <v>SM3832 KM vs WT SM</v>
      </c>
      <c r="AG56" s="6" t="s">
        <v>2</v>
      </c>
      <c r="AH56" s="1">
        <v>-2</v>
      </c>
      <c r="AI56" s="1" t="s">
        <v>57</v>
      </c>
      <c r="AJ56" s="1" t="s">
        <v>57</v>
      </c>
      <c r="AK56" s="1" t="e">
        <f>AVERAGE(AI56:AJ56)</f>
        <v>#DIV/0!</v>
      </c>
      <c r="AL56" s="1" t="e">
        <f>((AK56*10^-AH56)*20)*5</f>
        <v>#DIV/0!</v>
      </c>
      <c r="AM56" s="1" t="str">
        <f>IF(ISNUMBER(AK56)=FALSE,"No",(IF(AK56&gt;15,"Yes","No")))</f>
        <v>No</v>
      </c>
      <c r="AN56" s="2" t="str">
        <f>IF(AM56="Yes",AL56,"")</f>
        <v/>
      </c>
      <c r="AP56" s="10" t="s">
        <v>11</v>
      </c>
      <c r="AQ56" s="10">
        <f>AVERAGE(J56:J60)</f>
        <v>8800</v>
      </c>
      <c r="AR56" s="10">
        <f>AVERAGE(J61:J64)</f>
        <v>2940000</v>
      </c>
      <c r="AT56" s="21" t="s">
        <v>21</v>
      </c>
      <c r="AU56" s="10" t="s">
        <v>2</v>
      </c>
      <c r="AV56" s="10">
        <f>AQ57</f>
        <v>4750000000</v>
      </c>
      <c r="AW56" s="10">
        <f>AQ56</f>
        <v>8800</v>
      </c>
      <c r="AX56" s="10">
        <f>LN(AV56/AW56)</f>
        <v>13.198903454526663</v>
      </c>
      <c r="AY56" s="10">
        <f>AX56/AX57</f>
        <v>1.7337921431022214</v>
      </c>
    </row>
    <row r="57" spans="2:51" x14ac:dyDescent="0.2">
      <c r="B57" s="19"/>
      <c r="C57" s="7" t="s">
        <v>2</v>
      </c>
      <c r="D57">
        <v>-2</v>
      </c>
      <c r="E57" s="1" t="s">
        <v>57</v>
      </c>
      <c r="F57" s="1" t="s">
        <v>57</v>
      </c>
      <c r="G57" t="e">
        <f t="shared" ref="G57:G64" si="70">AVERAGE(E57:F57)</f>
        <v>#DIV/0!</v>
      </c>
      <c r="H57" t="e">
        <f>((G57*10^-D57)/50)*20</f>
        <v>#DIV/0!</v>
      </c>
      <c r="I57" t="str">
        <f t="shared" ref="I57:I58" si="71">IF(ISNUMBER(G57)=FALSE,"No",(IF(G57&gt;15,"Yes","No")))</f>
        <v>No</v>
      </c>
      <c r="J57" s="3" t="str">
        <f t="shared" ref="J57:J64" si="72">IF(I57="Yes",H57,"")</f>
        <v/>
      </c>
      <c r="L57" s="19"/>
      <c r="M57" s="7" t="s">
        <v>2</v>
      </c>
      <c r="N57">
        <v>-3</v>
      </c>
      <c r="O57" s="1" t="s">
        <v>57</v>
      </c>
      <c r="P57" s="1" t="s">
        <v>57</v>
      </c>
      <c r="Q57" t="e">
        <f t="shared" ref="Q57:Q64" si="73">AVERAGE(O57:P57)</f>
        <v>#DIV/0!</v>
      </c>
      <c r="R57" t="e">
        <f>((Q57*10^-N57)*20)*5</f>
        <v>#DIV/0!</v>
      </c>
      <c r="S57" t="str">
        <f t="shared" ref="S57:S64" si="74">IF(ISNUMBER(Q57)=FALSE,"No",(IF(Q57&gt;15,"Yes","No")))</f>
        <v>No</v>
      </c>
      <c r="T57" s="3" t="str">
        <f t="shared" ref="T57:T63" si="75">IF(S57="Yes",R57,"")</f>
        <v/>
      </c>
      <c r="V57" s="19"/>
      <c r="W57" s="7" t="s">
        <v>2</v>
      </c>
      <c r="X57">
        <v>-3</v>
      </c>
      <c r="Y57" s="1" t="s">
        <v>57</v>
      </c>
      <c r="Z57" s="1" t="s">
        <v>57</v>
      </c>
      <c r="AA57" t="e">
        <f t="shared" ref="AA57:AA64" si="76">AVERAGE(Y57:Z57)</f>
        <v>#DIV/0!</v>
      </c>
      <c r="AB57" t="e">
        <f t="shared" ref="AB57:AB64" si="77">((AA57*10^-X57)*20)*5</f>
        <v>#DIV/0!</v>
      </c>
      <c r="AC57" t="str">
        <f t="shared" ref="AC57:AC64" si="78">IF(ISNUMBER(AA57)=FALSE,"No",(IF(AA57&gt;15,"Yes","No")))</f>
        <v>No</v>
      </c>
      <c r="AD57" s="3" t="str">
        <f t="shared" ref="AD57:AD63" si="79">IF(AC57="Yes",AB57,"")</f>
        <v/>
      </c>
      <c r="AF57" s="19"/>
      <c r="AG57" s="7" t="s">
        <v>2</v>
      </c>
      <c r="AH57">
        <v>-3</v>
      </c>
      <c r="AI57" s="1" t="s">
        <v>57</v>
      </c>
      <c r="AJ57" s="1" t="s">
        <v>57</v>
      </c>
      <c r="AK57" t="e">
        <f t="shared" ref="AK57:AK60" si="80">AVERAGE(AI57:AJ57)</f>
        <v>#DIV/0!</v>
      </c>
      <c r="AL57" t="e">
        <f t="shared" ref="AL57:AL64" si="81">((AK57*10^-AH57)*20)*5</f>
        <v>#DIV/0!</v>
      </c>
      <c r="AM57" t="str">
        <f t="shared" ref="AM57:AM64" si="82">IF(ISNUMBER(AK57)=FALSE,"No",(IF(AK57&gt;15,"Yes","No")))</f>
        <v>No</v>
      </c>
      <c r="AN57" s="3" t="str">
        <f t="shared" ref="AN57:AN64" si="83">IF(AM57="Yes",AL57,"")</f>
        <v/>
      </c>
      <c r="AP57" s="10" t="s">
        <v>33</v>
      </c>
      <c r="AQ57" s="10">
        <f>AVERAGE(T56:T60)</f>
        <v>4750000000</v>
      </c>
      <c r="AR57" s="10">
        <f>AVERAGE(T61:T64)</f>
        <v>5950000000</v>
      </c>
      <c r="AT57" s="21"/>
      <c r="AU57" s="10" t="s">
        <v>10</v>
      </c>
      <c r="AV57" s="10">
        <f>AR57</f>
        <v>5950000000</v>
      </c>
      <c r="AW57" s="10">
        <f>AR56</f>
        <v>2940000</v>
      </c>
      <c r="AX57" s="10">
        <f t="shared" ref="AX57:AX61" si="84">LN(AV57/AW57)</f>
        <v>7.6127369171890855</v>
      </c>
      <c r="AY57" s="10"/>
    </row>
    <row r="58" spans="2:51" x14ac:dyDescent="0.2">
      <c r="B58" s="19"/>
      <c r="C58" s="7" t="s">
        <v>2</v>
      </c>
      <c r="D58">
        <v>-3</v>
      </c>
      <c r="E58">
        <v>25</v>
      </c>
      <c r="F58">
        <v>19</v>
      </c>
      <c r="G58">
        <f t="shared" si="70"/>
        <v>22</v>
      </c>
      <c r="H58">
        <f t="shared" ref="H58:H64" si="85">((G58*10^-D58)/50)*20</f>
        <v>8800</v>
      </c>
      <c r="I58" t="str">
        <f t="shared" si="71"/>
        <v>Yes</v>
      </c>
      <c r="J58" s="3">
        <f t="shared" si="72"/>
        <v>8800</v>
      </c>
      <c r="L58" s="19"/>
      <c r="M58" s="7" t="s">
        <v>2</v>
      </c>
      <c r="N58">
        <v>-4</v>
      </c>
      <c r="O58" s="1" t="s">
        <v>57</v>
      </c>
      <c r="P58" s="1" t="s">
        <v>57</v>
      </c>
      <c r="Q58" t="e">
        <f t="shared" si="73"/>
        <v>#DIV/0!</v>
      </c>
      <c r="R58" t="e">
        <f>((Q58*10^-N58)*20)*5</f>
        <v>#DIV/0!</v>
      </c>
      <c r="S58" t="str">
        <f t="shared" si="74"/>
        <v>No</v>
      </c>
      <c r="T58" s="3" t="str">
        <f t="shared" si="75"/>
        <v/>
      </c>
      <c r="V58" s="19"/>
      <c r="W58" s="7" t="s">
        <v>2</v>
      </c>
      <c r="X58">
        <v>-4</v>
      </c>
      <c r="Y58" s="1" t="s">
        <v>57</v>
      </c>
      <c r="Z58" s="1" t="s">
        <v>57</v>
      </c>
      <c r="AA58" t="e">
        <f t="shared" si="76"/>
        <v>#DIV/0!</v>
      </c>
      <c r="AB58" t="e">
        <f t="shared" si="77"/>
        <v>#DIV/0!</v>
      </c>
      <c r="AC58" t="str">
        <f t="shared" si="78"/>
        <v>No</v>
      </c>
      <c r="AD58" s="3" t="str">
        <f t="shared" si="79"/>
        <v/>
      </c>
      <c r="AF58" s="19"/>
      <c r="AG58" s="7" t="s">
        <v>2</v>
      </c>
      <c r="AH58">
        <v>-4</v>
      </c>
      <c r="AI58" s="1" t="s">
        <v>57</v>
      </c>
      <c r="AJ58" s="1" t="s">
        <v>57</v>
      </c>
      <c r="AK58" t="e">
        <f t="shared" si="80"/>
        <v>#DIV/0!</v>
      </c>
      <c r="AL58" t="e">
        <f t="shared" si="81"/>
        <v>#DIV/0!</v>
      </c>
      <c r="AM58" t="str">
        <f t="shared" si="82"/>
        <v>No</v>
      </c>
      <c r="AN58" s="3" t="str">
        <f t="shared" si="83"/>
        <v/>
      </c>
      <c r="AP58" s="10" t="s">
        <v>34</v>
      </c>
      <c r="AQ58" s="10">
        <f>AVERAGE(AD56:AD60)</f>
        <v>7200000000</v>
      </c>
      <c r="AR58" s="10">
        <f>AVERAGE(AD61:AD64)</f>
        <v>7100000000</v>
      </c>
      <c r="AT58" s="21" t="s">
        <v>22</v>
      </c>
      <c r="AU58" s="10" t="s">
        <v>2</v>
      </c>
      <c r="AV58" s="10">
        <f>AQ58</f>
        <v>7200000000</v>
      </c>
      <c r="AW58" s="10">
        <f>AQ56</f>
        <v>8800</v>
      </c>
      <c r="AX58" s="10">
        <f t="shared" si="84"/>
        <v>13.614839862502123</v>
      </c>
      <c r="AY58" s="10">
        <f>AX58/AX59</f>
        <v>1.7478585136538316</v>
      </c>
    </row>
    <row r="59" spans="2:51" x14ac:dyDescent="0.2">
      <c r="B59" s="19"/>
      <c r="C59" s="7" t="s">
        <v>2</v>
      </c>
      <c r="D59">
        <v>-4</v>
      </c>
      <c r="E59">
        <v>4</v>
      </c>
      <c r="F59">
        <v>3</v>
      </c>
      <c r="G59">
        <f t="shared" si="70"/>
        <v>3.5</v>
      </c>
      <c r="H59">
        <f t="shared" si="85"/>
        <v>14000</v>
      </c>
      <c r="I59" t="str">
        <f>IF(ISNUMBER(G59)=FALSE,"No",(IF(G59&gt;15,"Yes","No")))</f>
        <v>No</v>
      </c>
      <c r="J59" s="3" t="str">
        <f t="shared" si="72"/>
        <v/>
      </c>
      <c r="L59" s="19"/>
      <c r="M59" s="7" t="s">
        <v>2</v>
      </c>
      <c r="N59">
        <v>-5</v>
      </c>
      <c r="O59" s="1" t="s">
        <v>57</v>
      </c>
      <c r="P59" s="1" t="s">
        <v>57</v>
      </c>
      <c r="Q59" t="e">
        <f t="shared" si="73"/>
        <v>#DIV/0!</v>
      </c>
      <c r="R59" t="e">
        <f t="shared" ref="R59:R64" si="86">((Q59*10^-N59)*20)*5</f>
        <v>#DIV/0!</v>
      </c>
      <c r="S59" t="str">
        <f t="shared" si="74"/>
        <v>No</v>
      </c>
      <c r="T59" s="3" t="str">
        <f t="shared" si="75"/>
        <v/>
      </c>
      <c r="V59" s="19"/>
      <c r="W59" s="7" t="s">
        <v>2</v>
      </c>
      <c r="X59">
        <v>-5</v>
      </c>
      <c r="Y59" s="1" t="s">
        <v>57</v>
      </c>
      <c r="Z59" s="1" t="s">
        <v>57</v>
      </c>
      <c r="AA59" t="e">
        <f t="shared" si="76"/>
        <v>#DIV/0!</v>
      </c>
      <c r="AB59" t="e">
        <f t="shared" si="77"/>
        <v>#DIV/0!</v>
      </c>
      <c r="AC59" t="str">
        <f t="shared" si="78"/>
        <v>No</v>
      </c>
      <c r="AD59" s="3" t="str">
        <f t="shared" si="79"/>
        <v/>
      </c>
      <c r="AF59" s="19"/>
      <c r="AG59" s="7" t="s">
        <v>2</v>
      </c>
      <c r="AH59">
        <v>-5</v>
      </c>
      <c r="AI59" s="1" t="s">
        <v>57</v>
      </c>
      <c r="AJ59" s="1" t="s">
        <v>57</v>
      </c>
      <c r="AK59" t="e">
        <f t="shared" si="80"/>
        <v>#DIV/0!</v>
      </c>
      <c r="AL59" t="e">
        <f t="shared" si="81"/>
        <v>#DIV/0!</v>
      </c>
      <c r="AM59" t="str">
        <f t="shared" si="82"/>
        <v>No</v>
      </c>
      <c r="AN59" s="3" t="str">
        <f t="shared" si="83"/>
        <v/>
      </c>
      <c r="AP59" s="10" t="s">
        <v>35</v>
      </c>
      <c r="AQ59" s="10">
        <f>AVERAGE(AN56:AN60)</f>
        <v>4550000000</v>
      </c>
      <c r="AR59" s="10">
        <f>AVERAGE(AN61:AN64)</f>
        <v>27000000000</v>
      </c>
      <c r="AT59" s="21"/>
      <c r="AU59" s="10" t="s">
        <v>10</v>
      </c>
      <c r="AV59" s="10">
        <f>AR58</f>
        <v>7100000000</v>
      </c>
      <c r="AW59" s="10">
        <f>AR56</f>
        <v>2940000</v>
      </c>
      <c r="AX59" s="10">
        <f t="shared" si="84"/>
        <v>7.7894404816788168</v>
      </c>
      <c r="AY59" s="10"/>
    </row>
    <row r="60" spans="2:51" x14ac:dyDescent="0.2">
      <c r="B60" s="19"/>
      <c r="C60" s="8" t="s">
        <v>2</v>
      </c>
      <c r="D60" s="4">
        <v>-5</v>
      </c>
      <c r="E60" s="4"/>
      <c r="F60" s="4"/>
      <c r="G60" s="4" t="e">
        <f t="shared" si="70"/>
        <v>#DIV/0!</v>
      </c>
      <c r="H60" s="4" t="e">
        <f t="shared" si="85"/>
        <v>#DIV/0!</v>
      </c>
      <c r="I60" s="4" t="str">
        <f t="shared" ref="I60:I64" si="87">IF(ISNUMBER(G60)=FALSE,"No",(IF(G60&gt;15,"Yes","No")))</f>
        <v>No</v>
      </c>
      <c r="J60" s="5" t="str">
        <f t="shared" si="72"/>
        <v/>
      </c>
      <c r="L60" s="19"/>
      <c r="M60" s="8" t="s">
        <v>2</v>
      </c>
      <c r="N60" s="4">
        <v>-6</v>
      </c>
      <c r="O60" s="4">
        <v>46</v>
      </c>
      <c r="P60" s="4">
        <v>49</v>
      </c>
      <c r="Q60" s="4">
        <f t="shared" si="73"/>
        <v>47.5</v>
      </c>
      <c r="R60" s="4">
        <f t="shared" si="86"/>
        <v>4750000000</v>
      </c>
      <c r="S60" s="4" t="str">
        <f t="shared" si="74"/>
        <v>Yes</v>
      </c>
      <c r="T60" s="5">
        <f t="shared" si="75"/>
        <v>4750000000</v>
      </c>
      <c r="V60" s="19"/>
      <c r="W60" s="8" t="s">
        <v>2</v>
      </c>
      <c r="X60" s="4">
        <v>-6</v>
      </c>
      <c r="Y60" s="4">
        <v>79</v>
      </c>
      <c r="Z60" s="4">
        <v>65</v>
      </c>
      <c r="AA60" s="4">
        <f t="shared" si="76"/>
        <v>72</v>
      </c>
      <c r="AB60" s="4">
        <f t="shared" si="77"/>
        <v>7200000000</v>
      </c>
      <c r="AC60" s="4" t="str">
        <f t="shared" si="78"/>
        <v>Yes</v>
      </c>
      <c r="AD60" s="5">
        <f t="shared" si="79"/>
        <v>7200000000</v>
      </c>
      <c r="AF60" s="19"/>
      <c r="AG60" s="8" t="s">
        <v>2</v>
      </c>
      <c r="AH60" s="4">
        <v>-6</v>
      </c>
      <c r="AI60" s="4">
        <v>44</v>
      </c>
      <c r="AJ60" s="4">
        <v>47</v>
      </c>
      <c r="AK60" s="4">
        <f t="shared" si="80"/>
        <v>45.5</v>
      </c>
      <c r="AL60" s="4">
        <f t="shared" si="81"/>
        <v>4550000000</v>
      </c>
      <c r="AM60" s="4" t="str">
        <f t="shared" si="82"/>
        <v>Yes</v>
      </c>
      <c r="AN60" s="5">
        <f t="shared" si="83"/>
        <v>4550000000</v>
      </c>
      <c r="AT60" s="21" t="s">
        <v>23</v>
      </c>
      <c r="AU60" s="10" t="s">
        <v>2</v>
      </c>
      <c r="AV60" s="10">
        <f>AQ59</f>
        <v>4550000000</v>
      </c>
      <c r="AW60" s="10">
        <f>AQ56</f>
        <v>8800</v>
      </c>
      <c r="AX60" s="10">
        <f t="shared" si="84"/>
        <v>13.155886069442973</v>
      </c>
      <c r="AY60" s="10">
        <f>AX60/AX61</f>
        <v>1.4417120948209377</v>
      </c>
    </row>
    <row r="61" spans="2:51" x14ac:dyDescent="0.2">
      <c r="B61" s="19"/>
      <c r="C61" s="6" t="s">
        <v>10</v>
      </c>
      <c r="D61" s="1">
        <v>-4</v>
      </c>
      <c r="E61" s="1" t="s">
        <v>57</v>
      </c>
      <c r="F61" s="1" t="s">
        <v>57</v>
      </c>
      <c r="G61" s="1" t="e">
        <f t="shared" si="70"/>
        <v>#DIV/0!</v>
      </c>
      <c r="H61" s="1" t="e">
        <f t="shared" si="85"/>
        <v>#DIV/0!</v>
      </c>
      <c r="I61" s="1" t="str">
        <f t="shared" si="87"/>
        <v>No</v>
      </c>
      <c r="J61" s="2" t="str">
        <f t="shared" si="72"/>
        <v/>
      </c>
      <c r="L61" s="19"/>
      <c r="M61" s="6" t="s">
        <v>10</v>
      </c>
      <c r="N61" s="1">
        <v>-4</v>
      </c>
      <c r="O61" s="12" t="s">
        <v>57</v>
      </c>
      <c r="P61" s="12" t="s">
        <v>57</v>
      </c>
      <c r="Q61" s="1" t="e">
        <f t="shared" si="73"/>
        <v>#DIV/0!</v>
      </c>
      <c r="R61" s="1" t="e">
        <f t="shared" si="86"/>
        <v>#DIV/0!</v>
      </c>
      <c r="S61" s="1" t="str">
        <f t="shared" si="74"/>
        <v>No</v>
      </c>
      <c r="T61" s="2" t="str">
        <f t="shared" si="75"/>
        <v/>
      </c>
      <c r="V61" s="19"/>
      <c r="W61" s="6" t="s">
        <v>10</v>
      </c>
      <c r="X61" s="1">
        <v>-4</v>
      </c>
      <c r="Y61" s="1" t="s">
        <v>57</v>
      </c>
      <c r="Z61" s="1" t="s">
        <v>57</v>
      </c>
      <c r="AA61" s="1" t="e">
        <f t="shared" si="76"/>
        <v>#DIV/0!</v>
      </c>
      <c r="AB61" s="1" t="e">
        <f t="shared" si="77"/>
        <v>#DIV/0!</v>
      </c>
      <c r="AC61" s="1" t="str">
        <f t="shared" si="78"/>
        <v>No</v>
      </c>
      <c r="AD61" s="2" t="str">
        <f t="shared" si="79"/>
        <v/>
      </c>
      <c r="AF61" s="19"/>
      <c r="AG61" s="6" t="s">
        <v>10</v>
      </c>
      <c r="AH61" s="1">
        <v>-4</v>
      </c>
      <c r="AI61" s="1" t="s">
        <v>57</v>
      </c>
      <c r="AJ61" s="1" t="s">
        <v>57</v>
      </c>
      <c r="AK61" s="1" t="e">
        <f>AVERAGE(AI61:AJ61)</f>
        <v>#DIV/0!</v>
      </c>
      <c r="AL61" s="1" t="e">
        <f t="shared" si="81"/>
        <v>#DIV/0!</v>
      </c>
      <c r="AM61" s="1" t="str">
        <f t="shared" si="82"/>
        <v>No</v>
      </c>
      <c r="AN61" s="2" t="str">
        <f t="shared" si="83"/>
        <v/>
      </c>
      <c r="AT61" s="21"/>
      <c r="AU61" s="10" t="s">
        <v>10</v>
      </c>
      <c r="AV61" s="10">
        <f>AR59</f>
        <v>27000000000</v>
      </c>
      <c r="AW61" s="10">
        <f>AR56</f>
        <v>2940000</v>
      </c>
      <c r="AX61" s="10">
        <f t="shared" si="84"/>
        <v>9.1251825636358763</v>
      </c>
      <c r="AY61" s="10"/>
    </row>
    <row r="62" spans="2:51" x14ac:dyDescent="0.2">
      <c r="B62" s="19"/>
      <c r="C62" s="7" t="s">
        <v>10</v>
      </c>
      <c r="D62">
        <v>-5</v>
      </c>
      <c r="E62">
        <v>79</v>
      </c>
      <c r="F62">
        <v>68</v>
      </c>
      <c r="G62">
        <f t="shared" si="70"/>
        <v>73.5</v>
      </c>
      <c r="H62">
        <f t="shared" si="85"/>
        <v>2940000</v>
      </c>
      <c r="I62" t="str">
        <f t="shared" si="87"/>
        <v>Yes</v>
      </c>
      <c r="J62" s="3">
        <f t="shared" si="72"/>
        <v>2940000</v>
      </c>
      <c r="L62" s="19"/>
      <c r="M62" s="7" t="s">
        <v>10</v>
      </c>
      <c r="N62">
        <v>-5</v>
      </c>
      <c r="O62" s="12" t="s">
        <v>57</v>
      </c>
      <c r="P62" s="12" t="s">
        <v>57</v>
      </c>
      <c r="Q62" t="e">
        <f t="shared" si="73"/>
        <v>#DIV/0!</v>
      </c>
      <c r="R62" t="e">
        <f t="shared" si="86"/>
        <v>#DIV/0!</v>
      </c>
      <c r="S62" t="str">
        <f t="shared" si="74"/>
        <v>No</v>
      </c>
      <c r="T62" s="3" t="str">
        <f t="shared" si="75"/>
        <v/>
      </c>
      <c r="V62" s="19"/>
      <c r="W62" s="7" t="s">
        <v>10</v>
      </c>
      <c r="X62">
        <v>-5</v>
      </c>
      <c r="Y62" s="1" t="s">
        <v>57</v>
      </c>
      <c r="Z62" s="1" t="s">
        <v>57</v>
      </c>
      <c r="AA62" t="e">
        <f t="shared" si="76"/>
        <v>#DIV/0!</v>
      </c>
      <c r="AB62" t="e">
        <f t="shared" si="77"/>
        <v>#DIV/0!</v>
      </c>
      <c r="AC62" t="str">
        <f t="shared" si="78"/>
        <v>No</v>
      </c>
      <c r="AD62" s="3" t="str">
        <f t="shared" si="79"/>
        <v/>
      </c>
      <c r="AF62" s="19"/>
      <c r="AG62" s="7" t="s">
        <v>10</v>
      </c>
      <c r="AH62">
        <v>-5</v>
      </c>
      <c r="AI62" s="1" t="s">
        <v>57</v>
      </c>
      <c r="AJ62" s="1" t="s">
        <v>57</v>
      </c>
      <c r="AK62" t="e">
        <f>AVERAGE(AI62:AJ62)</f>
        <v>#DIV/0!</v>
      </c>
      <c r="AL62" t="e">
        <f t="shared" si="81"/>
        <v>#DIV/0!</v>
      </c>
      <c r="AM62" t="str">
        <f t="shared" si="82"/>
        <v>No</v>
      </c>
      <c r="AN62" s="3" t="str">
        <f t="shared" si="83"/>
        <v/>
      </c>
    </row>
    <row r="63" spans="2:51" x14ac:dyDescent="0.2">
      <c r="B63" s="19"/>
      <c r="C63" s="7" t="s">
        <v>10</v>
      </c>
      <c r="D63">
        <v>-6</v>
      </c>
      <c r="E63">
        <v>14</v>
      </c>
      <c r="F63">
        <v>15</v>
      </c>
      <c r="G63">
        <f t="shared" si="70"/>
        <v>14.5</v>
      </c>
      <c r="H63">
        <f t="shared" si="85"/>
        <v>5800000</v>
      </c>
      <c r="I63" t="str">
        <f t="shared" si="87"/>
        <v>No</v>
      </c>
      <c r="J63" s="3" t="str">
        <f t="shared" si="72"/>
        <v/>
      </c>
      <c r="L63" s="19"/>
      <c r="M63" s="7" t="s">
        <v>10</v>
      </c>
      <c r="N63">
        <v>-6</v>
      </c>
      <c r="O63" s="11">
        <v>63</v>
      </c>
      <c r="P63" s="11">
        <v>56</v>
      </c>
      <c r="Q63">
        <f t="shared" si="73"/>
        <v>59.5</v>
      </c>
      <c r="R63">
        <f t="shared" si="86"/>
        <v>5950000000</v>
      </c>
      <c r="S63" t="str">
        <f t="shared" si="74"/>
        <v>Yes</v>
      </c>
      <c r="T63" s="3">
        <f t="shared" si="75"/>
        <v>5950000000</v>
      </c>
      <c r="V63" s="19"/>
      <c r="W63" s="7" t="s">
        <v>10</v>
      </c>
      <c r="X63">
        <v>-6</v>
      </c>
      <c r="Y63">
        <v>74</v>
      </c>
      <c r="Z63">
        <v>68</v>
      </c>
      <c r="AA63">
        <f t="shared" si="76"/>
        <v>71</v>
      </c>
      <c r="AB63">
        <f t="shared" si="77"/>
        <v>7100000000</v>
      </c>
      <c r="AC63" t="str">
        <f t="shared" si="78"/>
        <v>Yes</v>
      </c>
      <c r="AD63" s="3">
        <f t="shared" si="79"/>
        <v>7100000000</v>
      </c>
      <c r="AF63" s="19"/>
      <c r="AG63" s="7" t="s">
        <v>10</v>
      </c>
      <c r="AH63">
        <v>-6</v>
      </c>
      <c r="AI63" s="1" t="s">
        <v>57</v>
      </c>
      <c r="AJ63" s="1" t="s">
        <v>57</v>
      </c>
      <c r="AK63" t="e">
        <f>AVERAGE(AI63:AJ63)</f>
        <v>#DIV/0!</v>
      </c>
      <c r="AL63" t="e">
        <f t="shared" si="81"/>
        <v>#DIV/0!</v>
      </c>
      <c r="AM63" t="str">
        <f t="shared" si="82"/>
        <v>No</v>
      </c>
      <c r="AN63" s="3" t="str">
        <f t="shared" si="83"/>
        <v/>
      </c>
      <c r="AX63" s="10" t="s">
        <v>6</v>
      </c>
      <c r="AY63" s="10">
        <f>AVERAGE(AY56,AY58,AY60)</f>
        <v>1.6411209171923302</v>
      </c>
    </row>
    <row r="64" spans="2:51" x14ac:dyDescent="0.2">
      <c r="B64" s="20"/>
      <c r="C64" s="8" t="s">
        <v>10</v>
      </c>
      <c r="D64" s="4">
        <v>-7</v>
      </c>
      <c r="E64" s="4">
        <v>2</v>
      </c>
      <c r="F64" s="4">
        <v>1</v>
      </c>
      <c r="G64" s="4">
        <f t="shared" si="70"/>
        <v>1.5</v>
      </c>
      <c r="H64" s="4">
        <f t="shared" si="85"/>
        <v>6000000</v>
      </c>
      <c r="I64" s="4" t="str">
        <f t="shared" si="87"/>
        <v>No</v>
      </c>
      <c r="J64" s="5" t="str">
        <f t="shared" si="72"/>
        <v/>
      </c>
      <c r="L64" s="20"/>
      <c r="M64" s="8" t="s">
        <v>10</v>
      </c>
      <c r="N64" s="4">
        <v>-7</v>
      </c>
      <c r="O64" s="4">
        <v>16</v>
      </c>
      <c r="P64" s="4">
        <v>17</v>
      </c>
      <c r="Q64" s="4">
        <f t="shared" si="73"/>
        <v>16.5</v>
      </c>
      <c r="R64" s="4">
        <f t="shared" si="86"/>
        <v>16500000000</v>
      </c>
      <c r="S64" s="4" t="str">
        <f t="shared" si="74"/>
        <v>Yes</v>
      </c>
      <c r="T64" s="5"/>
      <c r="V64" s="20"/>
      <c r="W64" s="8" t="s">
        <v>10</v>
      </c>
      <c r="X64" s="4">
        <v>-7</v>
      </c>
      <c r="Y64" s="4">
        <v>25</v>
      </c>
      <c r="Z64" s="4">
        <v>20</v>
      </c>
      <c r="AA64" s="4">
        <f t="shared" si="76"/>
        <v>22.5</v>
      </c>
      <c r="AB64" s="4">
        <f t="shared" si="77"/>
        <v>22500000000</v>
      </c>
      <c r="AC64" s="4" t="str">
        <f t="shared" si="78"/>
        <v>Yes</v>
      </c>
      <c r="AD64" s="5"/>
      <c r="AF64" s="20"/>
      <c r="AG64" s="8" t="s">
        <v>10</v>
      </c>
      <c r="AH64" s="4">
        <v>-7</v>
      </c>
      <c r="AI64" s="4">
        <v>30</v>
      </c>
      <c r="AJ64" s="4">
        <v>24</v>
      </c>
      <c r="AK64" s="4">
        <f>AVERAGE(AI64:AJ64)</f>
        <v>27</v>
      </c>
      <c r="AL64" s="4">
        <f t="shared" si="81"/>
        <v>27000000000</v>
      </c>
      <c r="AM64" s="4" t="str">
        <f t="shared" si="82"/>
        <v>Yes</v>
      </c>
      <c r="AN64" s="5">
        <f t="shared" si="83"/>
        <v>27000000000</v>
      </c>
      <c r="AX64" s="10" t="s">
        <v>17</v>
      </c>
      <c r="AY64" s="10">
        <f>STDEV(AY56,AY58,AY60)</f>
        <v>0.17283626507415334</v>
      </c>
    </row>
    <row r="65" spans="2:51" x14ac:dyDescent="0.2">
      <c r="B65" s="17" t="s">
        <v>24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7" spans="2:51" x14ac:dyDescent="0.2">
      <c r="B67" s="22" t="s">
        <v>11</v>
      </c>
      <c r="C67" s="23"/>
      <c r="D67" s="23"/>
      <c r="E67" s="23"/>
      <c r="F67" s="23"/>
      <c r="G67" s="23"/>
      <c r="H67" s="23"/>
      <c r="I67" s="23"/>
      <c r="J67" s="24"/>
      <c r="L67" s="22" t="s">
        <v>30</v>
      </c>
      <c r="M67" s="23"/>
      <c r="N67" s="23"/>
      <c r="O67" s="23"/>
      <c r="P67" s="23"/>
      <c r="Q67" s="23"/>
      <c r="R67" s="23"/>
      <c r="S67" s="23"/>
      <c r="T67" s="24"/>
      <c r="V67" s="22" t="s">
        <v>31</v>
      </c>
      <c r="W67" s="23"/>
      <c r="X67" s="23"/>
      <c r="Y67" s="23"/>
      <c r="Z67" s="23"/>
      <c r="AA67" s="23"/>
      <c r="AB67" s="23"/>
      <c r="AC67" s="23"/>
      <c r="AD67" s="24"/>
      <c r="AF67" s="22" t="s">
        <v>32</v>
      </c>
      <c r="AG67" s="23"/>
      <c r="AH67" s="23"/>
      <c r="AI67" s="23"/>
      <c r="AJ67" s="23"/>
      <c r="AK67" s="23"/>
      <c r="AL67" s="23"/>
      <c r="AM67" s="23"/>
      <c r="AN67" s="24"/>
    </row>
    <row r="68" spans="2:51" x14ac:dyDescent="0.2">
      <c r="B68" s="9" t="s">
        <v>0</v>
      </c>
      <c r="C68" s="1" t="s">
        <v>1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2" t="s">
        <v>9</v>
      </c>
      <c r="L68" s="9" t="s">
        <v>0</v>
      </c>
      <c r="M68" s="1" t="s">
        <v>1</v>
      </c>
      <c r="N68" s="1" t="s">
        <v>3</v>
      </c>
      <c r="O68" s="1" t="s">
        <v>4</v>
      </c>
      <c r="P68" s="1" t="s">
        <v>5</v>
      </c>
      <c r="Q68" s="1" t="s">
        <v>6</v>
      </c>
      <c r="R68" s="1" t="s">
        <v>7</v>
      </c>
      <c r="S68" s="1" t="s">
        <v>8</v>
      </c>
      <c r="T68" s="2" t="s">
        <v>9</v>
      </c>
      <c r="V68" s="9" t="s">
        <v>0</v>
      </c>
      <c r="W68" s="1" t="s">
        <v>1</v>
      </c>
      <c r="X68" s="1" t="s">
        <v>3</v>
      </c>
      <c r="Y68" s="1" t="s">
        <v>4</v>
      </c>
      <c r="Z68" s="1" t="s">
        <v>5</v>
      </c>
      <c r="AA68" s="1" t="s">
        <v>6</v>
      </c>
      <c r="AB68" s="1" t="s">
        <v>7</v>
      </c>
      <c r="AC68" s="1" t="s">
        <v>8</v>
      </c>
      <c r="AD68" s="2" t="s">
        <v>9</v>
      </c>
      <c r="AF68" s="9" t="s">
        <v>0</v>
      </c>
      <c r="AG68" s="1" t="s">
        <v>1</v>
      </c>
      <c r="AH68" s="1" t="s">
        <v>3</v>
      </c>
      <c r="AI68" s="1" t="s">
        <v>4</v>
      </c>
      <c r="AJ68" s="1" t="s">
        <v>5</v>
      </c>
      <c r="AK68" s="1" t="s">
        <v>6</v>
      </c>
      <c r="AL68" s="1" t="s">
        <v>7</v>
      </c>
      <c r="AM68" s="1" t="s">
        <v>8</v>
      </c>
      <c r="AN68" s="2" t="s">
        <v>9</v>
      </c>
      <c r="AQ68" s="10" t="s">
        <v>15</v>
      </c>
      <c r="AR68" s="10" t="s">
        <v>16</v>
      </c>
      <c r="AT68" s="10" t="s">
        <v>36</v>
      </c>
      <c r="AU68" s="10" t="str">
        <f>B69</f>
        <v>SM KM vs ∆ESM</v>
      </c>
      <c r="AV68" s="10" t="s">
        <v>37</v>
      </c>
      <c r="AW68" s="10" t="s">
        <v>18</v>
      </c>
      <c r="AX68" s="10" t="s">
        <v>19</v>
      </c>
      <c r="AY68" s="10" t="s">
        <v>20</v>
      </c>
    </row>
    <row r="69" spans="2:51" x14ac:dyDescent="0.2">
      <c r="B69" s="18" t="s">
        <v>56</v>
      </c>
      <c r="C69" s="6" t="s">
        <v>2</v>
      </c>
      <c r="D69" s="1">
        <v>-1</v>
      </c>
      <c r="E69" s="1">
        <v>114</v>
      </c>
      <c r="F69" s="1">
        <v>98</v>
      </c>
      <c r="G69" s="1">
        <f>AVERAGE(E69:F69)</f>
        <v>106</v>
      </c>
      <c r="H69" s="1">
        <f>((G69*10^-D69)/50)*20</f>
        <v>424</v>
      </c>
      <c r="I69" s="1" t="str">
        <f>IF(ISNUMBER(G69)=FALSE,"No",(IF(G69&gt;15,"Yes","No")))</f>
        <v>Yes</v>
      </c>
      <c r="J69" s="2">
        <f>IF(I69="Yes",H69,"")</f>
        <v>424</v>
      </c>
      <c r="L69" s="18" t="str">
        <f>B69</f>
        <v>SM KM vs ∆ESM</v>
      </c>
      <c r="M69" s="6" t="s">
        <v>2</v>
      </c>
      <c r="N69" s="1">
        <v>-2</v>
      </c>
      <c r="O69" s="1">
        <v>85</v>
      </c>
      <c r="P69" s="1">
        <v>79</v>
      </c>
      <c r="Q69" s="1">
        <f>AVERAGE(O69:P69)</f>
        <v>82</v>
      </c>
      <c r="R69" s="1">
        <f>((Q69*10^-N69)*20)*5</f>
        <v>820000</v>
      </c>
      <c r="S69" s="1" t="str">
        <f>IF(ISNUMBER(Q69)=FALSE,"No",(IF(Q69&gt;15,"Yes","No")))</f>
        <v>Yes</v>
      </c>
      <c r="T69" s="2">
        <f>IF(S69="Yes",R69,"")</f>
        <v>820000</v>
      </c>
      <c r="V69" s="18" t="str">
        <f>B69</f>
        <v>SM KM vs ∆ESM</v>
      </c>
      <c r="W69" s="6" t="s">
        <v>2</v>
      </c>
      <c r="X69" s="1">
        <v>-2</v>
      </c>
      <c r="Y69" s="1" t="s">
        <v>57</v>
      </c>
      <c r="Z69" s="1" t="s">
        <v>57</v>
      </c>
      <c r="AA69" s="1" t="e">
        <f>AVERAGE(Y69:Z69)</f>
        <v>#DIV/0!</v>
      </c>
      <c r="AB69" s="1" t="e">
        <f>((AA69*10^-X69)*20)*5</f>
        <v>#DIV/0!</v>
      </c>
      <c r="AC69" s="1" t="str">
        <f>IF(ISNUMBER(AA69)=FALSE,"No",(IF(AA69&gt;15,"Yes","No")))</f>
        <v>No</v>
      </c>
      <c r="AD69" s="2" t="str">
        <f>IF(AC69="Yes",AB69,"")</f>
        <v/>
      </c>
      <c r="AF69" s="18" t="str">
        <f>B69</f>
        <v>SM KM vs ∆ESM</v>
      </c>
      <c r="AG69" s="6" t="s">
        <v>2</v>
      </c>
      <c r="AH69" s="1">
        <v>-2</v>
      </c>
      <c r="AI69" s="1" t="s">
        <v>57</v>
      </c>
      <c r="AJ69" s="1" t="s">
        <v>57</v>
      </c>
      <c r="AK69" s="1" t="e">
        <f>AVERAGE(AI69:AJ69)</f>
        <v>#DIV/0!</v>
      </c>
      <c r="AL69" s="1" t="e">
        <f>((AK69*10^-AH69)*20)*5</f>
        <v>#DIV/0!</v>
      </c>
      <c r="AM69" s="1" t="str">
        <f>IF(ISNUMBER(AK69)=FALSE,"No",(IF(AK69&gt;15,"Yes","No")))</f>
        <v>No</v>
      </c>
      <c r="AN69" s="2" t="str">
        <f>IF(AM69="Yes",AL69,"")</f>
        <v/>
      </c>
      <c r="AP69" s="10" t="s">
        <v>11</v>
      </c>
      <c r="AQ69" s="10">
        <f>AVERAGE(J69:J73)</f>
        <v>542</v>
      </c>
      <c r="AR69" s="10">
        <f>AVERAGE(J74:J77)</f>
        <v>2480000</v>
      </c>
      <c r="AT69" s="21" t="s">
        <v>21</v>
      </c>
      <c r="AU69" s="10" t="s">
        <v>2</v>
      </c>
      <c r="AV69" s="10">
        <f>AQ70</f>
        <v>1460000</v>
      </c>
      <c r="AW69" s="10">
        <f>AQ69</f>
        <v>542</v>
      </c>
      <c r="AX69" s="10">
        <f>LN(AV69/AW69)</f>
        <v>7.8986809922448726</v>
      </c>
      <c r="AY69" s="10">
        <f>AX69/AX70</f>
        <v>1.0436791009058088</v>
      </c>
    </row>
    <row r="70" spans="2:51" x14ac:dyDescent="0.2">
      <c r="B70" s="19"/>
      <c r="C70" s="7" t="s">
        <v>2</v>
      </c>
      <c r="D70">
        <v>-2</v>
      </c>
      <c r="E70">
        <v>16</v>
      </c>
      <c r="F70">
        <v>17</v>
      </c>
      <c r="G70">
        <f t="shared" ref="G70:G77" si="88">AVERAGE(E70:F70)</f>
        <v>16.5</v>
      </c>
      <c r="H70">
        <f>((G70*10^-D70)/50)*20</f>
        <v>660</v>
      </c>
      <c r="I70" t="str">
        <f t="shared" ref="I70:I71" si="89">IF(ISNUMBER(G70)=FALSE,"No",(IF(G70&gt;15,"Yes","No")))</f>
        <v>Yes</v>
      </c>
      <c r="J70" s="3">
        <f t="shared" ref="J70:J77" si="90">IF(I70="Yes",H70,"")</f>
        <v>660</v>
      </c>
      <c r="L70" s="19"/>
      <c r="M70" s="7" t="s">
        <v>2</v>
      </c>
      <c r="N70">
        <v>-3</v>
      </c>
      <c r="O70">
        <v>25</v>
      </c>
      <c r="P70">
        <v>17</v>
      </c>
      <c r="Q70">
        <f t="shared" ref="Q70:Q77" si="91">AVERAGE(O70:P70)</f>
        <v>21</v>
      </c>
      <c r="R70">
        <f>((Q70*10^-N70)*20)*5</f>
        <v>2100000</v>
      </c>
      <c r="S70" t="str">
        <f t="shared" ref="S70:S77" si="92">IF(ISNUMBER(Q70)=FALSE,"No",(IF(Q70&gt;15,"Yes","No")))</f>
        <v>Yes</v>
      </c>
      <c r="T70" s="3">
        <f t="shared" ref="T70:T77" si="93">IF(S70="Yes",R70,"")</f>
        <v>2100000</v>
      </c>
      <c r="V70" s="19"/>
      <c r="W70" s="7" t="s">
        <v>2</v>
      </c>
      <c r="X70">
        <v>-3</v>
      </c>
      <c r="Y70">
        <v>18</v>
      </c>
      <c r="Z70">
        <v>13</v>
      </c>
      <c r="AA70">
        <f t="shared" ref="AA70:AA77" si="94">AVERAGE(Y70:Z70)</f>
        <v>15.5</v>
      </c>
      <c r="AB70">
        <f t="shared" ref="AB70:AB77" si="95">((AA70*10^-X70)*20)*5</f>
        <v>1550000</v>
      </c>
      <c r="AC70" t="str">
        <f t="shared" ref="AC70:AC77" si="96">IF(ISNUMBER(AA70)=FALSE,"No",(IF(AA70&gt;15,"Yes","No")))</f>
        <v>Yes</v>
      </c>
      <c r="AD70" s="3">
        <f t="shared" ref="AD70:AD77" si="97">IF(AC70="Yes",AB70,"")</f>
        <v>1550000</v>
      </c>
      <c r="AF70" s="19"/>
      <c r="AG70" s="7" t="s">
        <v>2</v>
      </c>
      <c r="AH70">
        <v>-3</v>
      </c>
      <c r="AI70">
        <v>16</v>
      </c>
      <c r="AJ70">
        <v>14</v>
      </c>
      <c r="AK70">
        <f t="shared" ref="AK70:AK77" si="98">AVERAGE(AI70:AJ70)</f>
        <v>15</v>
      </c>
      <c r="AL70">
        <f t="shared" ref="AL70:AL77" si="99">((AK70*10^-AH70)*20)*5</f>
        <v>1500000</v>
      </c>
      <c r="AM70" t="str">
        <f t="shared" ref="AM70:AM77" si="100">IF(ISNUMBER(AK70)=FALSE,"No",(IF(AK70&gt;15,"Yes","No")))</f>
        <v>No</v>
      </c>
      <c r="AN70" s="3">
        <v>1500000</v>
      </c>
      <c r="AP70" s="10" t="s">
        <v>33</v>
      </c>
      <c r="AQ70" s="10">
        <f>AVERAGE(T69:T73)</f>
        <v>1460000</v>
      </c>
      <c r="AR70" s="10">
        <f>AVERAGE(T74:T77)</f>
        <v>4800000000</v>
      </c>
      <c r="AT70" s="21"/>
      <c r="AU70" s="10" t="s">
        <v>10</v>
      </c>
      <c r="AV70" s="10">
        <f>AR70</f>
        <v>4800000000</v>
      </c>
      <c r="AW70" s="10">
        <f>AR69</f>
        <v>2480000</v>
      </c>
      <c r="AX70" s="10">
        <f t="shared" ref="AX70:AX74" si="101">LN(AV70/AW70)</f>
        <v>7.5681126367190918</v>
      </c>
      <c r="AY70" s="10"/>
    </row>
    <row r="71" spans="2:51" x14ac:dyDescent="0.2">
      <c r="B71" s="19"/>
      <c r="C71" s="7" t="s">
        <v>2</v>
      </c>
      <c r="D71">
        <v>-3</v>
      </c>
      <c r="E71">
        <v>2</v>
      </c>
      <c r="F71">
        <v>2</v>
      </c>
      <c r="G71">
        <f t="shared" si="88"/>
        <v>2</v>
      </c>
      <c r="H71">
        <f t="shared" ref="H71:H77" si="102">((G71*10^-D71)/50)*20</f>
        <v>800</v>
      </c>
      <c r="I71" t="str">
        <f t="shared" si="89"/>
        <v>No</v>
      </c>
      <c r="J71" s="3" t="str">
        <f t="shared" si="90"/>
        <v/>
      </c>
      <c r="L71" s="19"/>
      <c r="M71" s="7" t="s">
        <v>2</v>
      </c>
      <c r="N71">
        <v>-4</v>
      </c>
      <c r="O71">
        <v>0</v>
      </c>
      <c r="P71">
        <v>2</v>
      </c>
      <c r="Q71">
        <f t="shared" si="91"/>
        <v>1</v>
      </c>
      <c r="R71">
        <f>((Q71*10^-N71)*20)*5</f>
        <v>1000000</v>
      </c>
      <c r="S71" t="str">
        <f t="shared" si="92"/>
        <v>No</v>
      </c>
      <c r="T71" s="3" t="str">
        <f t="shared" si="93"/>
        <v/>
      </c>
      <c r="V71" s="19"/>
      <c r="W71" s="7" t="s">
        <v>2</v>
      </c>
      <c r="X71">
        <v>-4</v>
      </c>
      <c r="Y71">
        <v>1</v>
      </c>
      <c r="Z71">
        <v>1</v>
      </c>
      <c r="AA71">
        <f t="shared" si="94"/>
        <v>1</v>
      </c>
      <c r="AB71">
        <f t="shared" si="95"/>
        <v>1000000</v>
      </c>
      <c r="AC71" t="str">
        <f t="shared" si="96"/>
        <v>No</v>
      </c>
      <c r="AD71" s="3" t="str">
        <f t="shared" si="97"/>
        <v/>
      </c>
      <c r="AF71" s="19"/>
      <c r="AG71" s="7" t="s">
        <v>2</v>
      </c>
      <c r="AH71">
        <v>-4</v>
      </c>
      <c r="AK71" t="e">
        <f t="shared" si="98"/>
        <v>#DIV/0!</v>
      </c>
      <c r="AL71" t="e">
        <f t="shared" si="99"/>
        <v>#DIV/0!</v>
      </c>
      <c r="AM71" t="str">
        <f t="shared" si="100"/>
        <v>No</v>
      </c>
      <c r="AN71" s="3" t="str">
        <f t="shared" ref="AN71:AN77" si="103">IF(AM71="Yes",AL71,"")</f>
        <v/>
      </c>
      <c r="AP71" s="10" t="s">
        <v>34</v>
      </c>
      <c r="AQ71" s="10">
        <f>AVERAGE(AD69:AD73)</f>
        <v>1550000</v>
      </c>
      <c r="AR71" s="10">
        <f>AVERAGE(AD74:AD77)</f>
        <v>3950000000</v>
      </c>
      <c r="AT71" s="21" t="s">
        <v>22</v>
      </c>
      <c r="AU71" s="10" t="s">
        <v>2</v>
      </c>
      <c r="AV71" s="10">
        <f>AQ71</f>
        <v>1550000</v>
      </c>
      <c r="AW71" s="10">
        <f>AQ69</f>
        <v>542</v>
      </c>
      <c r="AX71" s="10">
        <f t="shared" si="101"/>
        <v>7.9584994874557831</v>
      </c>
      <c r="AY71" s="10">
        <f>AX71/AX72</f>
        <v>1.0793802166687416</v>
      </c>
    </row>
    <row r="72" spans="2:51" x14ac:dyDescent="0.2">
      <c r="B72" s="19"/>
      <c r="C72" s="7" t="s">
        <v>2</v>
      </c>
      <c r="D72">
        <v>-4</v>
      </c>
      <c r="G72" t="e">
        <f t="shared" si="88"/>
        <v>#DIV/0!</v>
      </c>
      <c r="H72" t="e">
        <f t="shared" si="102"/>
        <v>#DIV/0!</v>
      </c>
      <c r="I72" t="str">
        <f>IF(ISNUMBER(G72)=FALSE,"No",(IF(G72&gt;15,"Yes","No")))</f>
        <v>No</v>
      </c>
      <c r="J72" s="3" t="str">
        <f t="shared" si="90"/>
        <v/>
      </c>
      <c r="L72" s="19"/>
      <c r="M72" s="7" t="s">
        <v>2</v>
      </c>
      <c r="N72">
        <v>-5</v>
      </c>
      <c r="Q72" t="e">
        <f t="shared" si="91"/>
        <v>#DIV/0!</v>
      </c>
      <c r="R72" t="e">
        <f t="shared" ref="R72:R77" si="104">((Q72*10^-N72)*20)*5</f>
        <v>#DIV/0!</v>
      </c>
      <c r="S72" t="str">
        <f t="shared" si="92"/>
        <v>No</v>
      </c>
      <c r="T72" s="3" t="str">
        <f t="shared" si="93"/>
        <v/>
      </c>
      <c r="V72" s="19"/>
      <c r="W72" s="7" t="s">
        <v>2</v>
      </c>
      <c r="X72">
        <v>-5</v>
      </c>
      <c r="AA72" t="e">
        <f t="shared" si="94"/>
        <v>#DIV/0!</v>
      </c>
      <c r="AB72" t="e">
        <f t="shared" si="95"/>
        <v>#DIV/0!</v>
      </c>
      <c r="AC72" t="str">
        <f t="shared" si="96"/>
        <v>No</v>
      </c>
      <c r="AD72" s="3" t="str">
        <f t="shared" si="97"/>
        <v/>
      </c>
      <c r="AF72" s="19"/>
      <c r="AG72" s="7" t="s">
        <v>2</v>
      </c>
      <c r="AH72">
        <v>-5</v>
      </c>
      <c r="AK72" t="e">
        <f t="shared" si="98"/>
        <v>#DIV/0!</v>
      </c>
      <c r="AL72" t="e">
        <f t="shared" si="99"/>
        <v>#DIV/0!</v>
      </c>
      <c r="AM72" t="str">
        <f t="shared" si="100"/>
        <v>No</v>
      </c>
      <c r="AN72" s="3" t="str">
        <f t="shared" si="103"/>
        <v/>
      </c>
      <c r="AP72" s="10" t="s">
        <v>35</v>
      </c>
      <c r="AQ72" s="10">
        <f>AVERAGE(AN69:AN73)</f>
        <v>1500000</v>
      </c>
      <c r="AR72" s="10">
        <f>AVERAGE(AN74:AN77)</f>
        <v>3700000000</v>
      </c>
      <c r="AT72" s="21"/>
      <c r="AU72" s="10" t="s">
        <v>10</v>
      </c>
      <c r="AV72" s="10">
        <f>AR71</f>
        <v>3950000000</v>
      </c>
      <c r="AW72" s="10">
        <f>AR69</f>
        <v>2480000</v>
      </c>
      <c r="AX72" s="10">
        <f t="shared" si="101"/>
        <v>7.3732122977182764</v>
      </c>
      <c r="AY72" s="10"/>
    </row>
    <row r="73" spans="2:51" x14ac:dyDescent="0.2">
      <c r="B73" s="19"/>
      <c r="C73" s="8" t="s">
        <v>2</v>
      </c>
      <c r="D73" s="4">
        <v>-5</v>
      </c>
      <c r="E73" s="4"/>
      <c r="F73" s="4"/>
      <c r="G73" s="4" t="e">
        <f t="shared" si="88"/>
        <v>#DIV/0!</v>
      </c>
      <c r="H73" s="4" t="e">
        <f t="shared" si="102"/>
        <v>#DIV/0!</v>
      </c>
      <c r="I73" s="4" t="str">
        <f t="shared" ref="I73:I77" si="105">IF(ISNUMBER(G73)=FALSE,"No",(IF(G73&gt;15,"Yes","No")))</f>
        <v>No</v>
      </c>
      <c r="J73" s="5" t="str">
        <f t="shared" si="90"/>
        <v/>
      </c>
      <c r="L73" s="19"/>
      <c r="M73" s="8" t="s">
        <v>2</v>
      </c>
      <c r="N73" s="4">
        <v>-6</v>
      </c>
      <c r="O73" s="4"/>
      <c r="P73" s="4"/>
      <c r="Q73" s="4" t="e">
        <f t="shared" si="91"/>
        <v>#DIV/0!</v>
      </c>
      <c r="R73" s="4" t="e">
        <f t="shared" si="104"/>
        <v>#DIV/0!</v>
      </c>
      <c r="S73" s="4" t="str">
        <f t="shared" si="92"/>
        <v>No</v>
      </c>
      <c r="T73" s="5" t="str">
        <f t="shared" si="93"/>
        <v/>
      </c>
      <c r="V73" s="19"/>
      <c r="W73" s="8" t="s">
        <v>2</v>
      </c>
      <c r="X73" s="4">
        <v>-6</v>
      </c>
      <c r="Y73" s="4"/>
      <c r="Z73" s="4"/>
      <c r="AA73" s="4" t="e">
        <f t="shared" si="94"/>
        <v>#DIV/0!</v>
      </c>
      <c r="AB73" s="4" t="e">
        <f t="shared" si="95"/>
        <v>#DIV/0!</v>
      </c>
      <c r="AC73" s="4" t="str">
        <f t="shared" si="96"/>
        <v>No</v>
      </c>
      <c r="AD73" s="5" t="str">
        <f t="shared" si="97"/>
        <v/>
      </c>
      <c r="AF73" s="19"/>
      <c r="AG73" s="8" t="s">
        <v>2</v>
      </c>
      <c r="AH73" s="4">
        <v>-6</v>
      </c>
      <c r="AI73" s="4"/>
      <c r="AJ73" s="4"/>
      <c r="AK73" s="4" t="e">
        <f t="shared" si="98"/>
        <v>#DIV/0!</v>
      </c>
      <c r="AL73" s="4" t="e">
        <f t="shared" si="99"/>
        <v>#DIV/0!</v>
      </c>
      <c r="AM73" s="4" t="str">
        <f t="shared" si="100"/>
        <v>No</v>
      </c>
      <c r="AN73" s="5" t="str">
        <f t="shared" si="103"/>
        <v/>
      </c>
      <c r="AT73" s="21" t="s">
        <v>23</v>
      </c>
      <c r="AU73" s="10" t="s">
        <v>2</v>
      </c>
      <c r="AV73" s="10">
        <f>AQ72</f>
        <v>1500000</v>
      </c>
      <c r="AW73" s="10">
        <f>AQ69</f>
        <v>542</v>
      </c>
      <c r="AX73" s="10">
        <f t="shared" si="101"/>
        <v>7.9257096646327918</v>
      </c>
      <c r="AY73" s="10">
        <f>AX73/AX74</f>
        <v>1.0845504294983817</v>
      </c>
    </row>
    <row r="74" spans="2:51" x14ac:dyDescent="0.2">
      <c r="B74" s="19"/>
      <c r="C74" s="6" t="s">
        <v>10</v>
      </c>
      <c r="D74" s="1">
        <v>-4</v>
      </c>
      <c r="E74" s="1" t="s">
        <v>57</v>
      </c>
      <c r="F74" s="1" t="s">
        <v>57</v>
      </c>
      <c r="G74" s="1" t="e">
        <f t="shared" si="88"/>
        <v>#DIV/0!</v>
      </c>
      <c r="H74" s="1" t="e">
        <f t="shared" si="102"/>
        <v>#DIV/0!</v>
      </c>
      <c r="I74" s="1" t="str">
        <f t="shared" si="105"/>
        <v>No</v>
      </c>
      <c r="J74" s="2" t="str">
        <f t="shared" si="90"/>
        <v/>
      </c>
      <c r="L74" s="19"/>
      <c r="M74" s="6" t="s">
        <v>10</v>
      </c>
      <c r="N74" s="1">
        <v>-4</v>
      </c>
      <c r="O74" s="12" t="s">
        <v>57</v>
      </c>
      <c r="P74" s="12" t="s">
        <v>57</v>
      </c>
      <c r="Q74" s="1" t="e">
        <f t="shared" si="91"/>
        <v>#DIV/0!</v>
      </c>
      <c r="R74" s="1" t="e">
        <f t="shared" si="104"/>
        <v>#DIV/0!</v>
      </c>
      <c r="S74" s="1" t="str">
        <f t="shared" si="92"/>
        <v>No</v>
      </c>
      <c r="T74" s="2" t="str">
        <f t="shared" si="93"/>
        <v/>
      </c>
      <c r="V74" s="19"/>
      <c r="W74" s="6" t="s">
        <v>10</v>
      </c>
      <c r="X74" s="1">
        <v>-4</v>
      </c>
      <c r="Y74" s="1" t="s">
        <v>57</v>
      </c>
      <c r="Z74" s="1" t="s">
        <v>57</v>
      </c>
      <c r="AA74" s="1" t="e">
        <f t="shared" si="94"/>
        <v>#DIV/0!</v>
      </c>
      <c r="AB74" s="1" t="e">
        <f t="shared" si="95"/>
        <v>#DIV/0!</v>
      </c>
      <c r="AC74" s="1" t="str">
        <f t="shared" si="96"/>
        <v>No</v>
      </c>
      <c r="AD74" s="2" t="str">
        <f t="shared" si="97"/>
        <v/>
      </c>
      <c r="AF74" s="19"/>
      <c r="AG74" s="6" t="s">
        <v>10</v>
      </c>
      <c r="AH74" s="1">
        <v>-4</v>
      </c>
      <c r="AI74" s="1" t="s">
        <v>57</v>
      </c>
      <c r="AJ74" s="1" t="s">
        <v>57</v>
      </c>
      <c r="AK74" s="1" t="e">
        <f t="shared" si="98"/>
        <v>#DIV/0!</v>
      </c>
      <c r="AL74" s="1" t="e">
        <f t="shared" si="99"/>
        <v>#DIV/0!</v>
      </c>
      <c r="AM74" s="1" t="str">
        <f t="shared" si="100"/>
        <v>No</v>
      </c>
      <c r="AN74" s="2" t="str">
        <f t="shared" si="103"/>
        <v/>
      </c>
      <c r="AT74" s="21"/>
      <c r="AU74" s="10" t="s">
        <v>10</v>
      </c>
      <c r="AV74" s="10">
        <f>AR72</f>
        <v>3700000000</v>
      </c>
      <c r="AW74" s="10">
        <f>AR69</f>
        <v>2480000</v>
      </c>
      <c r="AX74" s="10">
        <f t="shared" si="101"/>
        <v>7.307829538455425</v>
      </c>
      <c r="AY74" s="10"/>
    </row>
    <row r="75" spans="2:51" x14ac:dyDescent="0.2">
      <c r="B75" s="19"/>
      <c r="C75" s="7" t="s">
        <v>10</v>
      </c>
      <c r="D75">
        <v>-5</v>
      </c>
      <c r="E75">
        <v>59</v>
      </c>
      <c r="F75">
        <v>65</v>
      </c>
      <c r="G75">
        <f t="shared" si="88"/>
        <v>62</v>
      </c>
      <c r="H75">
        <f t="shared" si="102"/>
        <v>2480000</v>
      </c>
      <c r="I75" t="str">
        <f t="shared" si="105"/>
        <v>Yes</v>
      </c>
      <c r="J75" s="3">
        <f t="shared" si="90"/>
        <v>2480000</v>
      </c>
      <c r="L75" s="19"/>
      <c r="M75" s="7" t="s">
        <v>10</v>
      </c>
      <c r="N75">
        <v>-5</v>
      </c>
      <c r="O75" s="12" t="s">
        <v>57</v>
      </c>
      <c r="P75" s="12" t="s">
        <v>57</v>
      </c>
      <c r="Q75" t="e">
        <f t="shared" si="91"/>
        <v>#DIV/0!</v>
      </c>
      <c r="R75" t="e">
        <f t="shared" si="104"/>
        <v>#DIV/0!</v>
      </c>
      <c r="S75" t="str">
        <f t="shared" si="92"/>
        <v>No</v>
      </c>
      <c r="T75" s="3" t="str">
        <f t="shared" si="93"/>
        <v/>
      </c>
      <c r="V75" s="19"/>
      <c r="W75" s="7" t="s">
        <v>10</v>
      </c>
      <c r="X75">
        <v>-5</v>
      </c>
      <c r="Y75" s="1" t="s">
        <v>57</v>
      </c>
      <c r="Z75" s="1" t="s">
        <v>57</v>
      </c>
      <c r="AA75" t="e">
        <f t="shared" si="94"/>
        <v>#DIV/0!</v>
      </c>
      <c r="AB75" t="e">
        <f t="shared" si="95"/>
        <v>#DIV/0!</v>
      </c>
      <c r="AC75" t="str">
        <f t="shared" si="96"/>
        <v>No</v>
      </c>
      <c r="AD75" s="3" t="str">
        <f t="shared" si="97"/>
        <v/>
      </c>
      <c r="AF75" s="19"/>
      <c r="AG75" s="7" t="s">
        <v>10</v>
      </c>
      <c r="AH75">
        <v>-5</v>
      </c>
      <c r="AI75" s="1" t="s">
        <v>57</v>
      </c>
      <c r="AJ75" s="1" t="s">
        <v>57</v>
      </c>
      <c r="AK75" t="e">
        <f t="shared" si="98"/>
        <v>#DIV/0!</v>
      </c>
      <c r="AL75" t="e">
        <f t="shared" si="99"/>
        <v>#DIV/0!</v>
      </c>
      <c r="AM75" t="str">
        <f t="shared" si="100"/>
        <v>No</v>
      </c>
      <c r="AN75" s="3" t="str">
        <f t="shared" si="103"/>
        <v/>
      </c>
    </row>
    <row r="76" spans="2:51" x14ac:dyDescent="0.2">
      <c r="B76" s="19"/>
      <c r="C76" s="7" t="s">
        <v>10</v>
      </c>
      <c r="D76">
        <v>-6</v>
      </c>
      <c r="E76">
        <v>6</v>
      </c>
      <c r="F76">
        <v>8</v>
      </c>
      <c r="G76">
        <f t="shared" si="88"/>
        <v>7</v>
      </c>
      <c r="H76">
        <f t="shared" si="102"/>
        <v>2800000</v>
      </c>
      <c r="I76" t="str">
        <f t="shared" si="105"/>
        <v>No</v>
      </c>
      <c r="J76" s="3" t="str">
        <f t="shared" si="90"/>
        <v/>
      </c>
      <c r="L76" s="19"/>
      <c r="M76" s="7" t="s">
        <v>10</v>
      </c>
      <c r="N76">
        <v>-6</v>
      </c>
      <c r="O76" s="11">
        <v>50</v>
      </c>
      <c r="P76" s="11">
        <v>46</v>
      </c>
      <c r="Q76">
        <f t="shared" si="91"/>
        <v>48</v>
      </c>
      <c r="R76">
        <f t="shared" si="104"/>
        <v>4800000000</v>
      </c>
      <c r="S76" t="str">
        <f t="shared" si="92"/>
        <v>Yes</v>
      </c>
      <c r="T76" s="3">
        <f t="shared" si="93"/>
        <v>4800000000</v>
      </c>
      <c r="V76" s="19"/>
      <c r="W76" s="7" t="s">
        <v>10</v>
      </c>
      <c r="X76">
        <v>-6</v>
      </c>
      <c r="Y76">
        <v>38</v>
      </c>
      <c r="Z76">
        <v>41</v>
      </c>
      <c r="AA76">
        <f t="shared" si="94"/>
        <v>39.5</v>
      </c>
      <c r="AB76">
        <f t="shared" si="95"/>
        <v>3950000000</v>
      </c>
      <c r="AC76" t="str">
        <f t="shared" si="96"/>
        <v>Yes</v>
      </c>
      <c r="AD76" s="3">
        <f t="shared" si="97"/>
        <v>3950000000</v>
      </c>
      <c r="AF76" s="19"/>
      <c r="AG76" s="7" t="s">
        <v>10</v>
      </c>
      <c r="AH76">
        <v>-6</v>
      </c>
      <c r="AI76">
        <v>31</v>
      </c>
      <c r="AJ76">
        <v>43</v>
      </c>
      <c r="AK76">
        <f t="shared" si="98"/>
        <v>37</v>
      </c>
      <c r="AL76">
        <f t="shared" si="99"/>
        <v>3700000000</v>
      </c>
      <c r="AM76" t="str">
        <f t="shared" si="100"/>
        <v>Yes</v>
      </c>
      <c r="AN76" s="3">
        <f t="shared" si="103"/>
        <v>3700000000</v>
      </c>
      <c r="AX76" s="10" t="s">
        <v>6</v>
      </c>
      <c r="AY76" s="10">
        <f>AVERAGE(AY69,AY71,AY73)</f>
        <v>1.0692032490243106</v>
      </c>
    </row>
    <row r="77" spans="2:51" x14ac:dyDescent="0.2">
      <c r="B77" s="20"/>
      <c r="C77" s="8" t="s">
        <v>10</v>
      </c>
      <c r="D77" s="4">
        <v>-7</v>
      </c>
      <c r="E77" s="4"/>
      <c r="F77" s="4"/>
      <c r="G77" s="4" t="e">
        <f t="shared" si="88"/>
        <v>#DIV/0!</v>
      </c>
      <c r="H77" s="4" t="e">
        <f t="shared" si="102"/>
        <v>#DIV/0!</v>
      </c>
      <c r="I77" s="4" t="str">
        <f t="shared" si="105"/>
        <v>No</v>
      </c>
      <c r="J77" s="5" t="str">
        <f t="shared" si="90"/>
        <v/>
      </c>
      <c r="L77" s="20"/>
      <c r="M77" s="8" t="s">
        <v>10</v>
      </c>
      <c r="N77" s="4">
        <v>-7</v>
      </c>
      <c r="O77" s="4">
        <v>9</v>
      </c>
      <c r="P77" s="4">
        <v>9</v>
      </c>
      <c r="Q77" s="4">
        <f t="shared" si="91"/>
        <v>9</v>
      </c>
      <c r="R77" s="4">
        <f t="shared" si="104"/>
        <v>9000000000</v>
      </c>
      <c r="S77" s="4" t="str">
        <f t="shared" si="92"/>
        <v>No</v>
      </c>
      <c r="T77" s="5" t="str">
        <f t="shared" si="93"/>
        <v/>
      </c>
      <c r="V77" s="20"/>
      <c r="W77" s="8" t="s">
        <v>10</v>
      </c>
      <c r="X77" s="4">
        <v>-7</v>
      </c>
      <c r="Y77" s="4">
        <v>13</v>
      </c>
      <c r="Z77" s="4">
        <v>15</v>
      </c>
      <c r="AA77" s="4">
        <f t="shared" si="94"/>
        <v>14</v>
      </c>
      <c r="AB77" s="4">
        <f t="shared" si="95"/>
        <v>14000000000</v>
      </c>
      <c r="AC77" s="4" t="str">
        <f t="shared" si="96"/>
        <v>No</v>
      </c>
      <c r="AD77" s="5" t="str">
        <f t="shared" si="97"/>
        <v/>
      </c>
      <c r="AF77" s="20"/>
      <c r="AG77" s="8" t="s">
        <v>10</v>
      </c>
      <c r="AH77" s="4">
        <v>-7</v>
      </c>
      <c r="AI77" s="4">
        <v>13</v>
      </c>
      <c r="AJ77" s="4">
        <v>7</v>
      </c>
      <c r="AK77" s="4">
        <f t="shared" si="98"/>
        <v>10</v>
      </c>
      <c r="AL77" s="4">
        <f t="shared" si="99"/>
        <v>10000000000</v>
      </c>
      <c r="AM77" s="4" t="str">
        <f t="shared" si="100"/>
        <v>No</v>
      </c>
      <c r="AN77" s="5" t="str">
        <f t="shared" si="103"/>
        <v/>
      </c>
      <c r="AX77" s="10" t="s">
        <v>17</v>
      </c>
      <c r="AY77" s="10">
        <f>STDEV(AY69,AY71,AY73)</f>
        <v>2.2255210132851144E-2</v>
      </c>
    </row>
    <row r="78" spans="2:51" x14ac:dyDescent="0.2">
      <c r="B78" s="17" t="s">
        <v>24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</row>
  </sheetData>
  <mergeCells count="72">
    <mergeCell ref="B13:AY13"/>
    <mergeCell ref="AF2:AN2"/>
    <mergeCell ref="AT8:AT9"/>
    <mergeCell ref="AT6:AT7"/>
    <mergeCell ref="AT4:AT5"/>
    <mergeCell ref="B2:J2"/>
    <mergeCell ref="L2:T2"/>
    <mergeCell ref="V2:AD2"/>
    <mergeCell ref="AF4:AF12"/>
    <mergeCell ref="V4:V12"/>
    <mergeCell ref="L4:L12"/>
    <mergeCell ref="B4:B12"/>
    <mergeCell ref="B27:J27"/>
    <mergeCell ref="L27:T27"/>
    <mergeCell ref="V27:AD27"/>
    <mergeCell ref="AF27:AN27"/>
    <mergeCell ref="B29:B37"/>
    <mergeCell ref="L29:L37"/>
    <mergeCell ref="V29:V37"/>
    <mergeCell ref="AF29:AF37"/>
    <mergeCell ref="AT29:AT30"/>
    <mergeCell ref="AT31:AT32"/>
    <mergeCell ref="AT33:AT34"/>
    <mergeCell ref="B38:AY38"/>
    <mergeCell ref="B15:J15"/>
    <mergeCell ref="L15:T15"/>
    <mergeCell ref="V15:AD15"/>
    <mergeCell ref="AF15:AN15"/>
    <mergeCell ref="B17:B25"/>
    <mergeCell ref="L17:L25"/>
    <mergeCell ref="V17:V25"/>
    <mergeCell ref="AF17:AF25"/>
    <mergeCell ref="AT17:AT18"/>
    <mergeCell ref="AT19:AT20"/>
    <mergeCell ref="AT21:AT22"/>
    <mergeCell ref="B26:AY26"/>
    <mergeCell ref="B41:J41"/>
    <mergeCell ref="L41:T41"/>
    <mergeCell ref="V41:AD41"/>
    <mergeCell ref="AF41:AN41"/>
    <mergeCell ref="B43:B51"/>
    <mergeCell ref="L43:L51"/>
    <mergeCell ref="V43:V51"/>
    <mergeCell ref="AF43:AF51"/>
    <mergeCell ref="AT43:AT44"/>
    <mergeCell ref="AT45:AT46"/>
    <mergeCell ref="AT47:AT48"/>
    <mergeCell ref="B52:AY52"/>
    <mergeCell ref="B54:J54"/>
    <mergeCell ref="L54:T54"/>
    <mergeCell ref="V54:AD54"/>
    <mergeCell ref="AF54:AN54"/>
    <mergeCell ref="B56:B64"/>
    <mergeCell ref="L56:L64"/>
    <mergeCell ref="V56:V64"/>
    <mergeCell ref="AF56:AF64"/>
    <mergeCell ref="AT56:AT57"/>
    <mergeCell ref="AT58:AT59"/>
    <mergeCell ref="AT60:AT61"/>
    <mergeCell ref="B65:AY65"/>
    <mergeCell ref="B67:J67"/>
    <mergeCell ref="L67:T67"/>
    <mergeCell ref="V67:AD67"/>
    <mergeCell ref="AF67:AN67"/>
    <mergeCell ref="B78:AY78"/>
    <mergeCell ref="B69:B77"/>
    <mergeCell ref="L69:L77"/>
    <mergeCell ref="V69:V77"/>
    <mergeCell ref="AF69:AF77"/>
    <mergeCell ref="AT69:AT70"/>
    <mergeCell ref="AT71:AT72"/>
    <mergeCell ref="AT73:AT74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940-BA72-C44C-862B-1A8526BEBA8C}">
  <dimension ref="B3:G11"/>
  <sheetViews>
    <sheetView zoomScale="125" workbookViewId="0">
      <selection activeCell="B15" sqref="B15"/>
    </sheetView>
  </sheetViews>
  <sheetFormatPr baseColWidth="10" defaultRowHeight="16" x14ac:dyDescent="0.2"/>
  <cols>
    <col min="2" max="2" width="16.6640625" bestFit="1" customWidth="1"/>
  </cols>
  <sheetData>
    <row r="3" spans="2:7" ht="17" thickBot="1" x14ac:dyDescent="0.25">
      <c r="B3" s="16" t="s">
        <v>0</v>
      </c>
      <c r="C3" s="16" t="s">
        <v>39</v>
      </c>
      <c r="D3" s="16" t="s">
        <v>40</v>
      </c>
      <c r="E3" s="16" t="s">
        <v>41</v>
      </c>
      <c r="F3" s="16" t="s">
        <v>6</v>
      </c>
      <c r="G3" s="16" t="s">
        <v>17</v>
      </c>
    </row>
    <row r="4" spans="2:7" ht="17" thickTop="1" x14ac:dyDescent="0.2">
      <c r="B4" t="s">
        <v>60</v>
      </c>
      <c r="C4">
        <v>0.91690000000000005</v>
      </c>
      <c r="D4">
        <v>0.88019999999999998</v>
      </c>
      <c r="E4">
        <v>1.0411999999999999</v>
      </c>
      <c r="F4">
        <v>0.94610000000000005</v>
      </c>
      <c r="G4">
        <v>8.4390000000000007E-2</v>
      </c>
    </row>
    <row r="5" spans="2:7" x14ac:dyDescent="0.2">
      <c r="B5" t="s">
        <v>61</v>
      </c>
      <c r="C5">
        <v>2.0495000000000001</v>
      </c>
      <c r="D5">
        <v>1.9528000000000001</v>
      </c>
      <c r="E5">
        <v>1.8715999999999999</v>
      </c>
      <c r="F5">
        <v>1.958</v>
      </c>
      <c r="G5">
        <v>8.9069999999999996E-2</v>
      </c>
    </row>
    <row r="6" spans="2:7" x14ac:dyDescent="0.2">
      <c r="B6" t="s">
        <v>62</v>
      </c>
      <c r="C6">
        <v>2.5529999999999999</v>
      </c>
      <c r="D6">
        <v>2.3704000000000001</v>
      </c>
      <c r="E6">
        <v>2.4796</v>
      </c>
      <c r="F6">
        <v>2.4679000000000002</v>
      </c>
      <c r="G6">
        <v>9.214E-2</v>
      </c>
    </row>
    <row r="7" spans="2:7" x14ac:dyDescent="0.2">
      <c r="B7" t="s">
        <v>63</v>
      </c>
      <c r="C7">
        <v>1.8171999999999999</v>
      </c>
      <c r="D7">
        <v>1.8137000000000001</v>
      </c>
      <c r="E7">
        <v>1.7694000000000001</v>
      </c>
      <c r="F7">
        <v>1.8001</v>
      </c>
      <c r="G7">
        <v>2.6669999999999999E-2</v>
      </c>
    </row>
    <row r="8" spans="2:7" x14ac:dyDescent="0.2">
      <c r="B8" t="s">
        <v>64</v>
      </c>
      <c r="C8">
        <v>1.7337</v>
      </c>
      <c r="D8">
        <v>1.74786</v>
      </c>
      <c r="E8">
        <v>1.4417</v>
      </c>
      <c r="F8">
        <v>1.664112</v>
      </c>
      <c r="G8">
        <v>0.17283000000000001</v>
      </c>
    </row>
    <row r="9" spans="2:7" x14ac:dyDescent="0.2">
      <c r="B9" t="s">
        <v>65</v>
      </c>
      <c r="C9">
        <v>1.0437000000000001</v>
      </c>
      <c r="D9">
        <v>1.0792999999999999</v>
      </c>
      <c r="E9">
        <v>1.0845499999999999</v>
      </c>
      <c r="F9">
        <v>1.0691999999999999</v>
      </c>
      <c r="G9">
        <v>2.2200000000000001E-2</v>
      </c>
    </row>
    <row r="11" spans="2:7" x14ac:dyDescent="0.2">
      <c r="B11" t="s">
        <v>66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577A-1A89-9943-9BFE-F4771F7989A5}">
  <dimension ref="B2:I43"/>
  <sheetViews>
    <sheetView workbookViewId="0">
      <selection activeCell="D12" sqref="D12"/>
    </sheetView>
  </sheetViews>
  <sheetFormatPr baseColWidth="10" defaultRowHeight="16" x14ac:dyDescent="0.2"/>
  <cols>
    <col min="2" max="3" width="17" bestFit="1" customWidth="1"/>
    <col min="6" max="6" width="14.1640625" bestFit="1" customWidth="1"/>
  </cols>
  <sheetData>
    <row r="2" spans="2:7" ht="17" thickBot="1" x14ac:dyDescent="0.25">
      <c r="B2" s="28" t="s">
        <v>38</v>
      </c>
      <c r="C2" s="28"/>
      <c r="D2" s="28"/>
      <c r="E2" s="28"/>
      <c r="F2" s="28"/>
      <c r="G2" s="28"/>
    </row>
    <row r="3" spans="2:7" ht="17" thickTop="1" x14ac:dyDescent="0.2">
      <c r="B3" s="14" t="s">
        <v>0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</row>
    <row r="4" spans="2:7" x14ac:dyDescent="0.2">
      <c r="B4" t="s">
        <v>60</v>
      </c>
      <c r="C4">
        <v>0.91690000000000005</v>
      </c>
      <c r="D4">
        <v>0.88019999999999998</v>
      </c>
      <c r="E4">
        <v>1.0411999999999999</v>
      </c>
      <c r="F4">
        <v>0.94610000000000005</v>
      </c>
      <c r="G4">
        <v>8.4390000000000007E-2</v>
      </c>
    </row>
    <row r="5" spans="2:7" x14ac:dyDescent="0.2">
      <c r="B5" t="s">
        <v>61</v>
      </c>
      <c r="C5">
        <v>2.0495000000000001</v>
      </c>
      <c r="D5">
        <v>1.9528000000000001</v>
      </c>
      <c r="E5">
        <v>1.8715999999999999</v>
      </c>
      <c r="F5">
        <v>1.958</v>
      </c>
      <c r="G5">
        <v>8.9069999999999996E-2</v>
      </c>
    </row>
    <row r="6" spans="2:7" x14ac:dyDescent="0.2">
      <c r="B6" t="s">
        <v>62</v>
      </c>
      <c r="C6">
        <v>2.5529999999999999</v>
      </c>
      <c r="D6">
        <v>2.3704000000000001</v>
      </c>
      <c r="E6">
        <v>2.4796</v>
      </c>
      <c r="F6">
        <v>2.4679000000000002</v>
      </c>
      <c r="G6">
        <v>9.214E-2</v>
      </c>
    </row>
    <row r="7" spans="2:7" x14ac:dyDescent="0.2">
      <c r="B7" t="s">
        <v>63</v>
      </c>
      <c r="C7">
        <v>1.8171999999999999</v>
      </c>
      <c r="D7">
        <v>1.8137000000000001</v>
      </c>
      <c r="E7">
        <v>1.7694000000000001</v>
      </c>
      <c r="F7">
        <v>1.8001</v>
      </c>
      <c r="G7">
        <v>2.6669999999999999E-2</v>
      </c>
    </row>
    <row r="8" spans="2:7" x14ac:dyDescent="0.2">
      <c r="B8" t="s">
        <v>64</v>
      </c>
      <c r="C8">
        <v>1.7337</v>
      </c>
      <c r="D8">
        <v>1.74786</v>
      </c>
      <c r="E8">
        <v>1.4417</v>
      </c>
      <c r="F8">
        <v>1.664112</v>
      </c>
      <c r="G8">
        <v>0.17283000000000001</v>
      </c>
    </row>
    <row r="9" spans="2:7" x14ac:dyDescent="0.2">
      <c r="B9" t="s">
        <v>65</v>
      </c>
      <c r="C9">
        <v>1.0437000000000001</v>
      </c>
      <c r="D9">
        <v>1.0792999999999999</v>
      </c>
      <c r="E9">
        <v>1.0845499999999999</v>
      </c>
      <c r="F9">
        <v>1.0691999999999999</v>
      </c>
      <c r="G9">
        <v>2.2200000000000001E-2</v>
      </c>
    </row>
    <row r="10" spans="2:7" x14ac:dyDescent="0.2">
      <c r="F10" s="15"/>
      <c r="G10" s="15"/>
    </row>
    <row r="11" spans="2:7" ht="17" thickBot="1" x14ac:dyDescent="0.25">
      <c r="B11" s="16" t="s">
        <v>44</v>
      </c>
      <c r="F11" s="15"/>
      <c r="G11" s="15"/>
    </row>
    <row r="12" spans="2:7" ht="17" thickTop="1" x14ac:dyDescent="0.2">
      <c r="B12" t="s">
        <v>45</v>
      </c>
      <c r="C12">
        <v>1</v>
      </c>
      <c r="D12" s="15"/>
      <c r="E12" s="15"/>
      <c r="F12" s="15"/>
      <c r="G12" s="15"/>
    </row>
    <row r="13" spans="2:7" x14ac:dyDescent="0.2">
      <c r="B13" t="s">
        <v>46</v>
      </c>
      <c r="C13" s="14"/>
      <c r="F13" s="15"/>
      <c r="G13" s="15"/>
    </row>
    <row r="14" spans="2:7" x14ac:dyDescent="0.2">
      <c r="B14" t="s">
        <v>47</v>
      </c>
      <c r="C14" s="14"/>
      <c r="D14" s="15"/>
      <c r="E14" s="15"/>
      <c r="F14" s="15"/>
      <c r="G14" s="15"/>
    </row>
    <row r="15" spans="2:7" x14ac:dyDescent="0.2">
      <c r="B15" t="s">
        <v>48</v>
      </c>
      <c r="C15" s="14"/>
      <c r="D15" s="15"/>
      <c r="E15" s="15"/>
      <c r="F15" s="15"/>
      <c r="G15" s="15"/>
    </row>
    <row r="40" spans="2:9" ht="17" thickBot="1" x14ac:dyDescent="0.25">
      <c r="B40" s="16" t="s">
        <v>49</v>
      </c>
    </row>
    <row r="41" spans="2:9" ht="17" thickTop="1" x14ac:dyDescent="0.2">
      <c r="B41" t="s">
        <v>50</v>
      </c>
      <c r="F41" t="s">
        <v>51</v>
      </c>
      <c r="I41" t="s">
        <v>52</v>
      </c>
    </row>
    <row r="42" spans="2:9" x14ac:dyDescent="0.2">
      <c r="B42" s="14"/>
      <c r="F42" s="14"/>
    </row>
    <row r="43" spans="2:9" x14ac:dyDescent="0.2">
      <c r="B43" s="14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47CB-2028-4349-BCA0-E62DC96E5750}">
  <dimension ref="B2:U73"/>
  <sheetViews>
    <sheetView workbookViewId="0">
      <selection activeCell="X20" sqref="X20"/>
    </sheetView>
  </sheetViews>
  <sheetFormatPr baseColWidth="10" defaultRowHeight="20" customHeight="1" x14ac:dyDescent="0.2"/>
  <cols>
    <col min="2" max="2" width="17" bestFit="1" customWidth="1"/>
    <col min="3" max="3" width="9.1640625" bestFit="1" customWidth="1"/>
    <col min="4" max="4" width="7.5" bestFit="1" customWidth="1"/>
    <col min="5" max="6" width="10.1640625" bestFit="1" customWidth="1"/>
    <col min="9" max="9" width="17" bestFit="1" customWidth="1"/>
    <col min="10" max="10" width="9.1640625" bestFit="1" customWidth="1"/>
    <col min="11" max="11" width="7.5" bestFit="1" customWidth="1"/>
    <col min="12" max="13" width="10.1640625" bestFit="1" customWidth="1"/>
    <col min="15" max="15" width="9.1640625" bestFit="1" customWidth="1"/>
    <col min="16" max="16" width="7.5" bestFit="1" customWidth="1"/>
    <col min="17" max="17" width="16.83203125" bestFit="1" customWidth="1"/>
    <col min="18" max="18" width="9.1640625" bestFit="1" customWidth="1"/>
    <col min="19" max="19" width="7.5" bestFit="1" customWidth="1"/>
    <col min="20" max="21" width="10.1640625" bestFit="1" customWidth="1"/>
    <col min="22" max="22" width="7.5" bestFit="1" customWidth="1"/>
    <col min="23" max="24" width="10.1640625" bestFit="1" customWidth="1"/>
    <col min="25" max="25" width="16.83203125" bestFit="1" customWidth="1"/>
    <col min="26" max="26" width="9.1640625" bestFit="1" customWidth="1"/>
    <col min="27" max="27" width="7.5" bestFit="1" customWidth="1"/>
    <col min="28" max="29" width="10.1640625" bestFit="1" customWidth="1"/>
    <col min="32" max="32" width="16.6640625" bestFit="1" customWidth="1"/>
    <col min="33" max="33" width="9.1640625" bestFit="1" customWidth="1"/>
    <col min="34" max="34" width="7.5" bestFit="1" customWidth="1"/>
    <col min="35" max="36" width="10.1640625" bestFit="1" customWidth="1"/>
  </cols>
  <sheetData>
    <row r="2" spans="2:21" ht="20" customHeight="1" x14ac:dyDescent="0.2">
      <c r="B2" s="21" t="s">
        <v>11</v>
      </c>
      <c r="C2" s="21"/>
      <c r="D2" s="21"/>
      <c r="E2" s="21"/>
      <c r="F2" s="21"/>
      <c r="I2" s="21" t="s">
        <v>12</v>
      </c>
      <c r="J2" s="21"/>
      <c r="K2" s="21"/>
      <c r="L2" s="21"/>
      <c r="M2" s="21"/>
      <c r="Q2" s="21" t="s">
        <v>12</v>
      </c>
      <c r="R2" s="21"/>
      <c r="S2" s="21"/>
      <c r="T2" s="21"/>
      <c r="U2" s="21"/>
    </row>
    <row r="3" spans="2:21" ht="20" customHeight="1" x14ac:dyDescent="0.2">
      <c r="B3" s="10" t="s">
        <v>0</v>
      </c>
      <c r="C3" s="10" t="s">
        <v>1</v>
      </c>
      <c r="D3" s="10" t="s">
        <v>3</v>
      </c>
      <c r="E3" s="10" t="s">
        <v>4</v>
      </c>
      <c r="F3" s="10" t="s">
        <v>5</v>
      </c>
      <c r="I3" s="10" t="s">
        <v>0</v>
      </c>
      <c r="J3" s="10" t="s">
        <v>1</v>
      </c>
      <c r="K3" s="10" t="s">
        <v>3</v>
      </c>
      <c r="L3" s="10" t="s">
        <v>4</v>
      </c>
      <c r="M3" s="10" t="s">
        <v>5</v>
      </c>
      <c r="Q3" s="10" t="s">
        <v>0</v>
      </c>
      <c r="R3" s="10" t="s">
        <v>1</v>
      </c>
      <c r="S3" s="10" t="s">
        <v>3</v>
      </c>
      <c r="T3" s="10" t="s">
        <v>4</v>
      </c>
      <c r="U3" s="10" t="s">
        <v>5</v>
      </c>
    </row>
    <row r="4" spans="2:21" ht="20" customHeight="1" x14ac:dyDescent="0.2">
      <c r="B4" s="21" t="s">
        <v>27</v>
      </c>
      <c r="C4" s="10" t="s">
        <v>2</v>
      </c>
      <c r="D4" s="10">
        <v>-1</v>
      </c>
      <c r="E4" s="10"/>
      <c r="F4" s="10"/>
      <c r="I4" s="21" t="str">
        <f>B4</f>
        <v>L2Q-KM vs L2Q-SM</v>
      </c>
      <c r="J4" s="10" t="s">
        <v>2</v>
      </c>
      <c r="K4" s="10">
        <v>-2</v>
      </c>
      <c r="L4" s="10"/>
      <c r="M4" s="10"/>
      <c r="Q4" s="21" t="s">
        <v>28</v>
      </c>
      <c r="R4" s="10" t="s">
        <v>2</v>
      </c>
      <c r="S4" s="10">
        <v>-2</v>
      </c>
      <c r="T4" s="10"/>
      <c r="U4" s="10"/>
    </row>
    <row r="5" spans="2:21" ht="20" customHeight="1" x14ac:dyDescent="0.2">
      <c r="B5" s="21"/>
      <c r="C5" s="10" t="s">
        <v>2</v>
      </c>
      <c r="D5" s="10">
        <v>-2</v>
      </c>
      <c r="E5" s="10"/>
      <c r="F5" s="10"/>
      <c r="I5" s="21"/>
      <c r="J5" s="10" t="s">
        <v>2</v>
      </c>
      <c r="K5" s="10">
        <v>-3</v>
      </c>
      <c r="L5" s="10"/>
      <c r="M5" s="10"/>
      <c r="Q5" s="21"/>
      <c r="R5" s="10" t="s">
        <v>2</v>
      </c>
      <c r="S5" s="10">
        <v>-3</v>
      </c>
      <c r="T5" s="10"/>
      <c r="U5" s="10"/>
    </row>
    <row r="6" spans="2:21" ht="20" customHeight="1" x14ac:dyDescent="0.2">
      <c r="B6" s="21"/>
      <c r="C6" s="10" t="s">
        <v>2</v>
      </c>
      <c r="D6" s="10">
        <v>-3</v>
      </c>
      <c r="E6" s="10"/>
      <c r="F6" s="10"/>
      <c r="I6" s="21"/>
      <c r="J6" s="10" t="s">
        <v>2</v>
      </c>
      <c r="K6" s="10">
        <v>-4</v>
      </c>
      <c r="L6" s="10"/>
      <c r="M6" s="10"/>
      <c r="Q6" s="21"/>
      <c r="R6" s="10" t="s">
        <v>2</v>
      </c>
      <c r="S6" s="10">
        <v>-4</v>
      </c>
      <c r="T6" s="10"/>
      <c r="U6" s="10"/>
    </row>
    <row r="7" spans="2:21" ht="20" customHeight="1" x14ac:dyDescent="0.2">
      <c r="B7" s="21"/>
      <c r="C7" s="10" t="s">
        <v>2</v>
      </c>
      <c r="D7" s="10">
        <v>-4</v>
      </c>
      <c r="E7" s="10"/>
      <c r="F7" s="10"/>
      <c r="I7" s="21"/>
      <c r="J7" s="10" t="s">
        <v>2</v>
      </c>
      <c r="K7" s="10">
        <v>-5</v>
      </c>
      <c r="L7" s="10"/>
      <c r="M7" s="10"/>
      <c r="Q7" s="21"/>
      <c r="R7" s="10" t="s">
        <v>2</v>
      </c>
      <c r="S7" s="10">
        <v>-5</v>
      </c>
      <c r="T7" s="10"/>
      <c r="U7" s="10"/>
    </row>
    <row r="8" spans="2:21" ht="20" customHeight="1" x14ac:dyDescent="0.2">
      <c r="B8" s="21"/>
      <c r="C8" s="10" t="s">
        <v>2</v>
      </c>
      <c r="D8" s="10">
        <v>-5</v>
      </c>
      <c r="E8" s="10"/>
      <c r="F8" s="10"/>
      <c r="I8" s="21"/>
      <c r="J8" s="10" t="s">
        <v>2</v>
      </c>
      <c r="K8" s="10">
        <v>-6</v>
      </c>
      <c r="L8" s="10"/>
      <c r="M8" s="10"/>
      <c r="Q8" s="21"/>
      <c r="R8" s="10" t="s">
        <v>2</v>
      </c>
      <c r="S8" s="10">
        <v>-6</v>
      </c>
      <c r="T8" s="10"/>
      <c r="U8" s="10"/>
    </row>
    <row r="9" spans="2:21" ht="20" customHeight="1" x14ac:dyDescent="0.2">
      <c r="B9" s="21"/>
      <c r="C9" s="10" t="s">
        <v>10</v>
      </c>
      <c r="D9" s="10">
        <v>-4</v>
      </c>
      <c r="E9" s="10"/>
      <c r="F9" s="10"/>
      <c r="I9" s="21"/>
      <c r="J9" s="10" t="s">
        <v>10</v>
      </c>
      <c r="K9" s="10">
        <v>-4</v>
      </c>
      <c r="L9" s="13"/>
      <c r="M9" s="13"/>
      <c r="Q9" s="21"/>
      <c r="R9" s="10" t="s">
        <v>10</v>
      </c>
      <c r="S9" s="10">
        <v>-4</v>
      </c>
      <c r="T9" s="13"/>
      <c r="U9" s="13"/>
    </row>
    <row r="10" spans="2:21" ht="20" customHeight="1" x14ac:dyDescent="0.2">
      <c r="B10" s="21"/>
      <c r="C10" s="10" t="s">
        <v>10</v>
      </c>
      <c r="D10" s="10">
        <v>-5</v>
      </c>
      <c r="E10" s="10"/>
      <c r="F10" s="10"/>
      <c r="I10" s="21"/>
      <c r="J10" s="10" t="s">
        <v>10</v>
      </c>
      <c r="K10" s="10">
        <v>-5</v>
      </c>
      <c r="L10" s="13"/>
      <c r="M10" s="13"/>
      <c r="Q10" s="21"/>
      <c r="R10" s="10" t="s">
        <v>10</v>
      </c>
      <c r="S10" s="10">
        <v>-5</v>
      </c>
      <c r="T10" s="13"/>
      <c r="U10" s="13"/>
    </row>
    <row r="11" spans="2:21" ht="20" customHeight="1" x14ac:dyDescent="0.2">
      <c r="B11" s="21"/>
      <c r="C11" s="10" t="s">
        <v>10</v>
      </c>
      <c r="D11" s="10">
        <v>-6</v>
      </c>
      <c r="E11" s="10"/>
      <c r="F11" s="10"/>
      <c r="I11" s="21"/>
      <c r="J11" s="10" t="s">
        <v>10</v>
      </c>
      <c r="K11" s="10">
        <v>-6</v>
      </c>
      <c r="L11" s="13"/>
      <c r="M11" s="13"/>
      <c r="Q11" s="21"/>
      <c r="R11" s="10" t="s">
        <v>10</v>
      </c>
      <c r="S11" s="10">
        <v>-6</v>
      </c>
      <c r="T11" s="13"/>
      <c r="U11" s="13"/>
    </row>
    <row r="12" spans="2:21" ht="20" customHeight="1" x14ac:dyDescent="0.2">
      <c r="B12" s="21"/>
      <c r="C12" s="10" t="s">
        <v>10</v>
      </c>
      <c r="D12" s="10">
        <v>-7</v>
      </c>
      <c r="E12" s="10"/>
      <c r="F12" s="10"/>
      <c r="I12" s="21"/>
      <c r="J12" s="10" t="s">
        <v>10</v>
      </c>
      <c r="K12" s="10">
        <v>-7</v>
      </c>
      <c r="L12" s="10"/>
      <c r="M12" s="10"/>
      <c r="Q12" s="21"/>
      <c r="R12" s="10" t="s">
        <v>10</v>
      </c>
      <c r="S12" s="10">
        <v>-7</v>
      </c>
      <c r="T12" s="10"/>
      <c r="U12" s="10"/>
    </row>
    <row r="14" spans="2:21" ht="20" customHeight="1" x14ac:dyDescent="0.2">
      <c r="B14" s="21" t="s">
        <v>11</v>
      </c>
      <c r="C14" s="21"/>
      <c r="D14" s="21"/>
      <c r="E14" s="21"/>
      <c r="F14" s="21"/>
      <c r="I14" s="21" t="s">
        <v>14</v>
      </c>
      <c r="J14" s="21"/>
      <c r="K14" s="21"/>
      <c r="L14" s="21"/>
      <c r="M14" s="21"/>
      <c r="Q14" s="21" t="s">
        <v>14</v>
      </c>
      <c r="R14" s="21"/>
      <c r="S14" s="21"/>
      <c r="T14" s="21"/>
      <c r="U14" s="21"/>
    </row>
    <row r="15" spans="2:21" ht="20" customHeight="1" x14ac:dyDescent="0.2">
      <c r="B15" s="10" t="s">
        <v>0</v>
      </c>
      <c r="C15" s="10" t="s">
        <v>1</v>
      </c>
      <c r="D15" s="10" t="s">
        <v>3</v>
      </c>
      <c r="E15" s="10" t="s">
        <v>4</v>
      </c>
      <c r="F15" s="10" t="s">
        <v>5</v>
      </c>
      <c r="I15" s="10" t="s">
        <v>0</v>
      </c>
      <c r="J15" s="10" t="s">
        <v>1</v>
      </c>
      <c r="K15" s="10" t="s">
        <v>3</v>
      </c>
      <c r="L15" s="10" t="s">
        <v>4</v>
      </c>
      <c r="M15" s="10" t="s">
        <v>5</v>
      </c>
      <c r="Q15" s="10" t="s">
        <v>0</v>
      </c>
      <c r="R15" s="10" t="s">
        <v>1</v>
      </c>
      <c r="S15" s="10" t="s">
        <v>3</v>
      </c>
      <c r="T15" s="10" t="s">
        <v>4</v>
      </c>
      <c r="U15" s="10" t="s">
        <v>5</v>
      </c>
    </row>
    <row r="16" spans="2:21" ht="20" customHeight="1" x14ac:dyDescent="0.2">
      <c r="B16" s="21" t="s">
        <v>26</v>
      </c>
      <c r="C16" s="10" t="s">
        <v>2</v>
      </c>
      <c r="D16" s="10">
        <v>-1</v>
      </c>
      <c r="E16" s="10"/>
      <c r="F16" s="10"/>
      <c r="I16" s="21" t="str">
        <f>B4</f>
        <v>L2Q-KM vs L2Q-SM</v>
      </c>
      <c r="J16" s="10" t="s">
        <v>2</v>
      </c>
      <c r="K16" s="10">
        <v>-2</v>
      </c>
      <c r="L16" s="10"/>
      <c r="M16" s="10"/>
      <c r="Q16" s="21" t="str">
        <f>Q4</f>
        <v>L2Q-KM vs L2R-SM</v>
      </c>
      <c r="R16" s="10" t="s">
        <v>2</v>
      </c>
      <c r="S16" s="10">
        <v>-2</v>
      </c>
      <c r="T16" s="10"/>
      <c r="U16" s="10"/>
    </row>
    <row r="17" spans="2:21" ht="20" customHeight="1" x14ac:dyDescent="0.2">
      <c r="B17" s="21"/>
      <c r="C17" s="10" t="s">
        <v>2</v>
      </c>
      <c r="D17" s="10">
        <v>-2</v>
      </c>
      <c r="E17" s="10"/>
      <c r="F17" s="10"/>
      <c r="I17" s="21"/>
      <c r="J17" s="10" t="s">
        <v>2</v>
      </c>
      <c r="K17" s="10">
        <v>-3</v>
      </c>
      <c r="L17" s="10"/>
      <c r="M17" s="10"/>
      <c r="Q17" s="21"/>
      <c r="R17" s="10" t="s">
        <v>2</v>
      </c>
      <c r="S17" s="10">
        <v>-3</v>
      </c>
      <c r="T17" s="10"/>
      <c r="U17" s="10"/>
    </row>
    <row r="18" spans="2:21" ht="20" customHeight="1" x14ac:dyDescent="0.2">
      <c r="B18" s="21"/>
      <c r="C18" s="10" t="s">
        <v>2</v>
      </c>
      <c r="D18" s="10">
        <v>-3</v>
      </c>
      <c r="E18" s="10"/>
      <c r="F18" s="10"/>
      <c r="I18" s="21"/>
      <c r="J18" s="10" t="s">
        <v>2</v>
      </c>
      <c r="K18" s="10">
        <v>-4</v>
      </c>
      <c r="L18" s="10"/>
      <c r="M18" s="10"/>
      <c r="Q18" s="21"/>
      <c r="R18" s="10" t="s">
        <v>2</v>
      </c>
      <c r="S18" s="10">
        <v>-4</v>
      </c>
      <c r="T18" s="10"/>
      <c r="U18" s="10"/>
    </row>
    <row r="19" spans="2:21" ht="20" customHeight="1" x14ac:dyDescent="0.2">
      <c r="B19" s="21"/>
      <c r="C19" s="10" t="s">
        <v>2</v>
      </c>
      <c r="D19" s="10">
        <v>-4</v>
      </c>
      <c r="E19" s="10"/>
      <c r="F19" s="10"/>
      <c r="I19" s="21"/>
      <c r="J19" s="10" t="s">
        <v>2</v>
      </c>
      <c r="K19" s="10">
        <v>-5</v>
      </c>
      <c r="L19" s="10"/>
      <c r="M19" s="10"/>
      <c r="Q19" s="21"/>
      <c r="R19" s="10" t="s">
        <v>2</v>
      </c>
      <c r="S19" s="10">
        <v>-5</v>
      </c>
      <c r="T19" s="10"/>
      <c r="U19" s="10"/>
    </row>
    <row r="20" spans="2:21" ht="20" customHeight="1" x14ac:dyDescent="0.2">
      <c r="B20" s="21"/>
      <c r="C20" s="10" t="s">
        <v>2</v>
      </c>
      <c r="D20" s="10">
        <v>-5</v>
      </c>
      <c r="E20" s="10"/>
      <c r="F20" s="10"/>
      <c r="I20" s="21"/>
      <c r="J20" s="10" t="s">
        <v>2</v>
      </c>
      <c r="K20" s="10">
        <v>-6</v>
      </c>
      <c r="L20" s="10"/>
      <c r="M20" s="10"/>
      <c r="Q20" s="21"/>
      <c r="R20" s="10" t="s">
        <v>2</v>
      </c>
      <c r="S20" s="10">
        <v>-6</v>
      </c>
      <c r="T20" s="10"/>
      <c r="U20" s="10"/>
    </row>
    <row r="21" spans="2:21" ht="20" customHeight="1" x14ac:dyDescent="0.2">
      <c r="B21" s="21"/>
      <c r="C21" s="10" t="s">
        <v>10</v>
      </c>
      <c r="D21" s="10">
        <v>-4</v>
      </c>
      <c r="E21" s="10"/>
      <c r="F21" s="10"/>
      <c r="I21" s="21"/>
      <c r="J21" s="10" t="s">
        <v>10</v>
      </c>
      <c r="K21" s="10">
        <v>-4</v>
      </c>
      <c r="L21" s="10"/>
      <c r="M21" s="10"/>
      <c r="Q21" s="21"/>
      <c r="R21" s="10" t="s">
        <v>10</v>
      </c>
      <c r="S21" s="10">
        <v>-4</v>
      </c>
      <c r="T21" s="10"/>
      <c r="U21" s="10"/>
    </row>
    <row r="22" spans="2:21" ht="20" customHeight="1" x14ac:dyDescent="0.2">
      <c r="B22" s="21"/>
      <c r="C22" s="10" t="s">
        <v>10</v>
      </c>
      <c r="D22" s="10">
        <v>-5</v>
      </c>
      <c r="E22" s="10"/>
      <c r="F22" s="10"/>
      <c r="I22" s="21"/>
      <c r="J22" s="10" t="s">
        <v>10</v>
      </c>
      <c r="K22" s="10">
        <v>-5</v>
      </c>
      <c r="L22" s="10"/>
      <c r="M22" s="10"/>
      <c r="Q22" s="21"/>
      <c r="R22" s="10" t="s">
        <v>10</v>
      </c>
      <c r="S22" s="10">
        <v>-5</v>
      </c>
      <c r="T22" s="10"/>
      <c r="U22" s="10"/>
    </row>
    <row r="23" spans="2:21" ht="20" customHeight="1" x14ac:dyDescent="0.2">
      <c r="B23" s="21"/>
      <c r="C23" s="10" t="s">
        <v>10</v>
      </c>
      <c r="D23" s="10">
        <v>-6</v>
      </c>
      <c r="E23" s="10"/>
      <c r="F23" s="10"/>
      <c r="I23" s="21"/>
      <c r="J23" s="10" t="s">
        <v>10</v>
      </c>
      <c r="K23" s="10">
        <v>-6</v>
      </c>
      <c r="L23" s="10"/>
      <c r="M23" s="10"/>
      <c r="Q23" s="21"/>
      <c r="R23" s="10" t="s">
        <v>10</v>
      </c>
      <c r="S23" s="10">
        <v>-6</v>
      </c>
      <c r="T23" s="10"/>
      <c r="U23" s="10"/>
    </row>
    <row r="24" spans="2:21" ht="20" customHeight="1" x14ac:dyDescent="0.2">
      <c r="B24" s="21"/>
      <c r="C24" s="10" t="s">
        <v>10</v>
      </c>
      <c r="D24" s="10">
        <v>-7</v>
      </c>
      <c r="E24" s="10"/>
      <c r="F24" s="10"/>
      <c r="I24" s="21"/>
      <c r="J24" s="10" t="s">
        <v>10</v>
      </c>
      <c r="K24" s="10">
        <v>-7</v>
      </c>
      <c r="L24" s="10"/>
      <c r="M24" s="10"/>
      <c r="Q24" s="21"/>
      <c r="R24" s="10" t="s">
        <v>10</v>
      </c>
      <c r="S24" s="10">
        <v>-7</v>
      </c>
      <c r="T24" s="10"/>
      <c r="U24" s="10"/>
    </row>
    <row r="26" spans="2:21" ht="20" customHeight="1" x14ac:dyDescent="0.2">
      <c r="I26" s="21" t="s">
        <v>13</v>
      </c>
      <c r="J26" s="21"/>
      <c r="K26" s="21"/>
      <c r="L26" s="21"/>
      <c r="M26" s="21"/>
      <c r="Q26" s="21" t="s">
        <v>13</v>
      </c>
      <c r="R26" s="21"/>
      <c r="S26" s="21"/>
      <c r="T26" s="21"/>
      <c r="U26" s="21"/>
    </row>
    <row r="27" spans="2:21" ht="20" customHeight="1" x14ac:dyDescent="0.2">
      <c r="I27" s="10" t="s">
        <v>0</v>
      </c>
      <c r="J27" s="10" t="s">
        <v>1</v>
      </c>
      <c r="K27" s="10" t="s">
        <v>3</v>
      </c>
      <c r="L27" s="10" t="s">
        <v>4</v>
      </c>
      <c r="M27" s="10" t="s">
        <v>5</v>
      </c>
      <c r="Q27" s="10" t="s">
        <v>0</v>
      </c>
      <c r="R27" s="10" t="s">
        <v>1</v>
      </c>
      <c r="S27" s="10" t="s">
        <v>3</v>
      </c>
      <c r="T27" s="10" t="s">
        <v>4</v>
      </c>
      <c r="U27" s="10" t="s">
        <v>5</v>
      </c>
    </row>
    <row r="28" spans="2:21" ht="20" customHeight="1" x14ac:dyDescent="0.2">
      <c r="I28" s="21" t="str">
        <f>B4</f>
        <v>L2Q-KM vs L2Q-SM</v>
      </c>
      <c r="J28" s="10" t="s">
        <v>2</v>
      </c>
      <c r="K28" s="10">
        <v>-2</v>
      </c>
      <c r="L28" s="10"/>
      <c r="M28" s="10"/>
      <c r="Q28" s="21" t="str">
        <f>Q4</f>
        <v>L2Q-KM vs L2R-SM</v>
      </c>
      <c r="R28" s="10" t="s">
        <v>2</v>
      </c>
      <c r="S28" s="10">
        <v>-2</v>
      </c>
      <c r="T28" s="10"/>
      <c r="U28" s="10"/>
    </row>
    <row r="29" spans="2:21" ht="20" customHeight="1" x14ac:dyDescent="0.2">
      <c r="I29" s="21"/>
      <c r="J29" s="10" t="s">
        <v>2</v>
      </c>
      <c r="K29" s="10">
        <v>-3</v>
      </c>
      <c r="L29" s="10"/>
      <c r="M29" s="10"/>
      <c r="Q29" s="21"/>
      <c r="R29" s="10" t="s">
        <v>2</v>
      </c>
      <c r="S29" s="10">
        <v>-3</v>
      </c>
      <c r="T29" s="10"/>
      <c r="U29" s="10"/>
    </row>
    <row r="30" spans="2:21" ht="20" customHeight="1" x14ac:dyDescent="0.2">
      <c r="I30" s="21"/>
      <c r="J30" s="10" t="s">
        <v>2</v>
      </c>
      <c r="K30" s="10">
        <v>-4</v>
      </c>
      <c r="L30" s="10"/>
      <c r="M30" s="10"/>
      <c r="Q30" s="21"/>
      <c r="R30" s="10" t="s">
        <v>2</v>
      </c>
      <c r="S30" s="10">
        <v>-4</v>
      </c>
      <c r="T30" s="10"/>
      <c r="U30" s="10"/>
    </row>
    <row r="31" spans="2:21" ht="20" customHeight="1" x14ac:dyDescent="0.2">
      <c r="I31" s="21"/>
      <c r="J31" s="10" t="s">
        <v>2</v>
      </c>
      <c r="K31" s="10">
        <v>-5</v>
      </c>
      <c r="L31" s="10"/>
      <c r="M31" s="10"/>
      <c r="Q31" s="21"/>
      <c r="R31" s="10" t="s">
        <v>2</v>
      </c>
      <c r="S31" s="10">
        <v>-5</v>
      </c>
      <c r="T31" s="10"/>
      <c r="U31" s="10"/>
    </row>
    <row r="32" spans="2:21" ht="20" customHeight="1" x14ac:dyDescent="0.2">
      <c r="I32" s="21"/>
      <c r="J32" s="10" t="s">
        <v>2</v>
      </c>
      <c r="K32" s="10">
        <v>-6</v>
      </c>
      <c r="L32" s="10"/>
      <c r="M32" s="10"/>
      <c r="Q32" s="21"/>
      <c r="R32" s="10" t="s">
        <v>2</v>
      </c>
      <c r="S32" s="10">
        <v>-6</v>
      </c>
      <c r="T32" s="10"/>
      <c r="U32" s="10"/>
    </row>
    <row r="33" spans="2:21" ht="20" customHeight="1" x14ac:dyDescent="0.2">
      <c r="I33" s="21"/>
      <c r="J33" s="10" t="s">
        <v>10</v>
      </c>
      <c r="K33" s="10">
        <v>-4</v>
      </c>
      <c r="L33" s="10"/>
      <c r="M33" s="10"/>
      <c r="Q33" s="21"/>
      <c r="R33" s="10" t="s">
        <v>10</v>
      </c>
      <c r="S33" s="10">
        <v>-4</v>
      </c>
      <c r="T33" s="10"/>
      <c r="U33" s="10"/>
    </row>
    <row r="34" spans="2:21" ht="20" customHeight="1" x14ac:dyDescent="0.2">
      <c r="I34" s="21"/>
      <c r="J34" s="10" t="s">
        <v>10</v>
      </c>
      <c r="K34" s="10">
        <v>-5</v>
      </c>
      <c r="L34" s="10"/>
      <c r="M34" s="10"/>
      <c r="Q34" s="21"/>
      <c r="R34" s="10" t="s">
        <v>10</v>
      </c>
      <c r="S34" s="10">
        <v>-5</v>
      </c>
      <c r="T34" s="10"/>
      <c r="U34" s="10"/>
    </row>
    <row r="35" spans="2:21" ht="20" customHeight="1" x14ac:dyDescent="0.2">
      <c r="I35" s="21"/>
      <c r="J35" s="10" t="s">
        <v>10</v>
      </c>
      <c r="K35" s="10">
        <v>-6</v>
      </c>
      <c r="L35" s="10"/>
      <c r="M35" s="10"/>
      <c r="Q35" s="21"/>
      <c r="R35" s="10" t="s">
        <v>10</v>
      </c>
      <c r="S35" s="10">
        <v>-6</v>
      </c>
      <c r="T35" s="10"/>
      <c r="U35" s="10"/>
    </row>
    <row r="36" spans="2:21" ht="20" customHeight="1" x14ac:dyDescent="0.2">
      <c r="I36" s="21"/>
      <c r="J36" s="10" t="s">
        <v>10</v>
      </c>
      <c r="K36" s="10">
        <v>-7</v>
      </c>
      <c r="L36" s="10"/>
      <c r="M36" s="10"/>
      <c r="Q36" s="21"/>
      <c r="R36" s="10" t="s">
        <v>10</v>
      </c>
      <c r="S36" s="10">
        <v>-7</v>
      </c>
      <c r="T36" s="10"/>
      <c r="U36" s="10"/>
    </row>
    <row r="39" spans="2:21" ht="20" customHeight="1" x14ac:dyDescent="0.2">
      <c r="B39" s="21" t="s">
        <v>11</v>
      </c>
      <c r="C39" s="21"/>
      <c r="D39" s="21"/>
      <c r="E39" s="21"/>
      <c r="F39" s="21"/>
      <c r="I39" s="21" t="s">
        <v>12</v>
      </c>
      <c r="J39" s="21"/>
      <c r="K39" s="21"/>
      <c r="L39" s="21"/>
      <c r="M39" s="21"/>
      <c r="Q39" s="21" t="s">
        <v>12</v>
      </c>
      <c r="R39" s="21"/>
      <c r="S39" s="21"/>
      <c r="T39" s="21"/>
      <c r="U39" s="21"/>
    </row>
    <row r="40" spans="2:21" ht="20" customHeight="1" x14ac:dyDescent="0.2">
      <c r="B40" s="10" t="s">
        <v>0</v>
      </c>
      <c r="C40" s="10" t="s">
        <v>1</v>
      </c>
      <c r="D40" s="10" t="s">
        <v>3</v>
      </c>
      <c r="E40" s="10" t="s">
        <v>4</v>
      </c>
      <c r="F40" s="10" t="s">
        <v>5</v>
      </c>
      <c r="I40" s="10" t="s">
        <v>0</v>
      </c>
      <c r="J40" s="10" t="s">
        <v>1</v>
      </c>
      <c r="K40" s="10" t="s">
        <v>3</v>
      </c>
      <c r="L40" s="10" t="s">
        <v>4</v>
      </c>
      <c r="M40" s="10" t="s">
        <v>5</v>
      </c>
      <c r="Q40" s="10" t="s">
        <v>0</v>
      </c>
      <c r="R40" s="10" t="s">
        <v>1</v>
      </c>
      <c r="S40" s="10" t="s">
        <v>3</v>
      </c>
      <c r="T40" s="10" t="s">
        <v>4</v>
      </c>
      <c r="U40" s="10" t="s">
        <v>5</v>
      </c>
    </row>
    <row r="41" spans="2:21" ht="20" customHeight="1" x14ac:dyDescent="0.2">
      <c r="B41" s="21" t="s">
        <v>28</v>
      </c>
      <c r="C41" s="10" t="s">
        <v>2</v>
      </c>
      <c r="D41" s="10">
        <v>-1</v>
      </c>
      <c r="E41" s="10"/>
      <c r="F41" s="10"/>
      <c r="I41" s="21" t="s">
        <v>26</v>
      </c>
      <c r="J41" s="10" t="s">
        <v>2</v>
      </c>
      <c r="K41" s="10">
        <v>-2</v>
      </c>
      <c r="L41" s="10"/>
      <c r="M41" s="10"/>
      <c r="Q41" s="21" t="s">
        <v>29</v>
      </c>
      <c r="R41" s="10" t="s">
        <v>2</v>
      </c>
      <c r="S41" s="10">
        <v>-2</v>
      </c>
      <c r="T41" s="10"/>
      <c r="U41" s="10"/>
    </row>
    <row r="42" spans="2:21" ht="20" customHeight="1" x14ac:dyDescent="0.2">
      <c r="B42" s="21"/>
      <c r="C42" s="10" t="s">
        <v>2</v>
      </c>
      <c r="D42" s="10">
        <v>-2</v>
      </c>
      <c r="E42" s="10"/>
      <c r="F42" s="10"/>
      <c r="I42" s="21"/>
      <c r="J42" s="10" t="s">
        <v>2</v>
      </c>
      <c r="K42" s="10">
        <v>-3</v>
      </c>
      <c r="L42" s="10"/>
      <c r="M42" s="10"/>
      <c r="Q42" s="21"/>
      <c r="R42" s="10" t="s">
        <v>2</v>
      </c>
      <c r="S42" s="10">
        <v>-3</v>
      </c>
      <c r="T42" s="10"/>
      <c r="U42" s="10"/>
    </row>
    <row r="43" spans="2:21" ht="20" customHeight="1" x14ac:dyDescent="0.2">
      <c r="B43" s="21"/>
      <c r="C43" s="10" t="s">
        <v>2</v>
      </c>
      <c r="D43" s="10">
        <v>-3</v>
      </c>
      <c r="E43" s="10"/>
      <c r="F43" s="10"/>
      <c r="I43" s="21"/>
      <c r="J43" s="10" t="s">
        <v>2</v>
      </c>
      <c r="K43" s="10">
        <v>-4</v>
      </c>
      <c r="L43" s="10"/>
      <c r="M43" s="10"/>
      <c r="Q43" s="21"/>
      <c r="R43" s="10" t="s">
        <v>2</v>
      </c>
      <c r="S43" s="10">
        <v>-4</v>
      </c>
      <c r="T43" s="10"/>
      <c r="U43" s="10"/>
    </row>
    <row r="44" spans="2:21" ht="20" customHeight="1" x14ac:dyDescent="0.2">
      <c r="B44" s="21"/>
      <c r="C44" s="10" t="s">
        <v>2</v>
      </c>
      <c r="D44" s="10">
        <v>-4</v>
      </c>
      <c r="E44" s="10"/>
      <c r="F44" s="10"/>
      <c r="I44" s="21"/>
      <c r="J44" s="10" t="s">
        <v>2</v>
      </c>
      <c r="K44" s="10">
        <v>-5</v>
      </c>
      <c r="L44" s="10"/>
      <c r="M44" s="10"/>
      <c r="Q44" s="21"/>
      <c r="R44" s="10" t="s">
        <v>2</v>
      </c>
      <c r="S44" s="10">
        <v>-5</v>
      </c>
      <c r="T44" s="10"/>
      <c r="U44" s="10"/>
    </row>
    <row r="45" spans="2:21" ht="20" customHeight="1" x14ac:dyDescent="0.2">
      <c r="B45" s="21"/>
      <c r="C45" s="10" t="s">
        <v>2</v>
      </c>
      <c r="D45" s="10">
        <v>-5</v>
      </c>
      <c r="E45" s="10"/>
      <c r="F45" s="10"/>
      <c r="I45" s="21"/>
      <c r="J45" s="10" t="s">
        <v>2</v>
      </c>
      <c r="K45" s="10">
        <v>-6</v>
      </c>
      <c r="L45" s="10"/>
      <c r="M45" s="10"/>
      <c r="Q45" s="21"/>
      <c r="R45" s="10" t="s">
        <v>2</v>
      </c>
      <c r="S45" s="10">
        <v>-6</v>
      </c>
      <c r="T45" s="10"/>
      <c r="U45" s="10"/>
    </row>
    <row r="46" spans="2:21" ht="20" customHeight="1" x14ac:dyDescent="0.2">
      <c r="B46" s="21"/>
      <c r="C46" s="10" t="s">
        <v>10</v>
      </c>
      <c r="D46" s="10">
        <v>-4</v>
      </c>
      <c r="E46" s="10"/>
      <c r="F46" s="10"/>
      <c r="I46" s="21"/>
      <c r="J46" s="10" t="s">
        <v>10</v>
      </c>
      <c r="K46" s="10">
        <v>-4</v>
      </c>
      <c r="L46" s="13"/>
      <c r="M46" s="13"/>
      <c r="Q46" s="21"/>
      <c r="R46" s="10" t="s">
        <v>10</v>
      </c>
      <c r="S46" s="10">
        <v>-4</v>
      </c>
      <c r="T46" s="13"/>
      <c r="U46" s="13"/>
    </row>
    <row r="47" spans="2:21" ht="20" customHeight="1" x14ac:dyDescent="0.2">
      <c r="B47" s="21"/>
      <c r="C47" s="10" t="s">
        <v>10</v>
      </c>
      <c r="D47" s="10">
        <v>-5</v>
      </c>
      <c r="E47" s="10"/>
      <c r="F47" s="10"/>
      <c r="I47" s="21"/>
      <c r="J47" s="10" t="s">
        <v>10</v>
      </c>
      <c r="K47" s="10">
        <v>-5</v>
      </c>
      <c r="L47" s="13"/>
      <c r="M47" s="13"/>
      <c r="Q47" s="21"/>
      <c r="R47" s="10" t="s">
        <v>10</v>
      </c>
      <c r="S47" s="10">
        <v>-5</v>
      </c>
      <c r="T47" s="13"/>
      <c r="U47" s="13"/>
    </row>
    <row r="48" spans="2:21" ht="20" customHeight="1" x14ac:dyDescent="0.2">
      <c r="B48" s="21"/>
      <c r="C48" s="10" t="s">
        <v>10</v>
      </c>
      <c r="D48" s="10">
        <v>-6</v>
      </c>
      <c r="E48" s="10"/>
      <c r="F48" s="10"/>
      <c r="I48" s="21"/>
      <c r="J48" s="10" t="s">
        <v>10</v>
      </c>
      <c r="K48" s="10">
        <v>-6</v>
      </c>
      <c r="L48" s="13"/>
      <c r="M48" s="13"/>
      <c r="Q48" s="21"/>
      <c r="R48" s="10" t="s">
        <v>10</v>
      </c>
      <c r="S48" s="10">
        <v>-6</v>
      </c>
      <c r="T48" s="13"/>
      <c r="U48" s="13"/>
    </row>
    <row r="49" spans="2:21" ht="20" customHeight="1" x14ac:dyDescent="0.2">
      <c r="B49" s="21"/>
      <c r="C49" s="10" t="s">
        <v>10</v>
      </c>
      <c r="D49" s="10">
        <v>-7</v>
      </c>
      <c r="E49" s="10"/>
      <c r="F49" s="10"/>
      <c r="I49" s="21"/>
      <c r="J49" s="10" t="s">
        <v>10</v>
      </c>
      <c r="K49" s="10">
        <v>-7</v>
      </c>
      <c r="L49" s="10"/>
      <c r="M49" s="10"/>
      <c r="Q49" s="21"/>
      <c r="R49" s="10" t="s">
        <v>10</v>
      </c>
      <c r="S49" s="10">
        <v>-7</v>
      </c>
      <c r="T49" s="10"/>
      <c r="U49" s="10"/>
    </row>
    <row r="51" spans="2:21" ht="20" customHeight="1" x14ac:dyDescent="0.2">
      <c r="B51" s="21" t="s">
        <v>11</v>
      </c>
      <c r="C51" s="21"/>
      <c r="D51" s="21"/>
      <c r="E51" s="21"/>
      <c r="F51" s="21"/>
      <c r="I51" s="21" t="s">
        <v>14</v>
      </c>
      <c r="J51" s="21"/>
      <c r="K51" s="21"/>
      <c r="L51" s="21"/>
      <c r="M51" s="21"/>
      <c r="Q51" s="21" t="s">
        <v>14</v>
      </c>
      <c r="R51" s="21"/>
      <c r="S51" s="21"/>
      <c r="T51" s="21"/>
      <c r="U51" s="21"/>
    </row>
    <row r="52" spans="2:21" ht="20" customHeight="1" x14ac:dyDescent="0.2">
      <c r="B52" s="10" t="s">
        <v>0</v>
      </c>
      <c r="C52" s="10" t="s">
        <v>1</v>
      </c>
      <c r="D52" s="10" t="s">
        <v>3</v>
      </c>
      <c r="E52" s="10" t="s">
        <v>4</v>
      </c>
      <c r="F52" s="10" t="s">
        <v>5</v>
      </c>
      <c r="I52" s="10" t="s">
        <v>0</v>
      </c>
      <c r="J52" s="10" t="s">
        <v>1</v>
      </c>
      <c r="K52" s="10" t="s">
        <v>3</v>
      </c>
      <c r="L52" s="10" t="s">
        <v>4</v>
      </c>
      <c r="M52" s="10" t="s">
        <v>5</v>
      </c>
      <c r="Q52" s="10" t="s">
        <v>0</v>
      </c>
      <c r="R52" s="10" t="s">
        <v>1</v>
      </c>
      <c r="S52" s="10" t="s">
        <v>3</v>
      </c>
      <c r="T52" s="10" t="s">
        <v>4</v>
      </c>
      <c r="U52" s="10" t="s">
        <v>5</v>
      </c>
    </row>
    <row r="53" spans="2:21" ht="20" customHeight="1" x14ac:dyDescent="0.2">
      <c r="B53" s="21" t="s">
        <v>29</v>
      </c>
      <c r="C53" s="10" t="s">
        <v>2</v>
      </c>
      <c r="D53" s="10">
        <v>-1</v>
      </c>
      <c r="E53" s="10"/>
      <c r="F53" s="10"/>
      <c r="I53" s="21" t="str">
        <f>I41</f>
        <v>L2Q-KM vs L2P-SM</v>
      </c>
      <c r="J53" s="10" t="s">
        <v>2</v>
      </c>
      <c r="K53" s="10">
        <v>-2</v>
      </c>
      <c r="L53" s="10"/>
      <c r="M53" s="10"/>
      <c r="Q53" s="21" t="str">
        <f>Q41</f>
        <v>L2Q-KM vs L4P-SM</v>
      </c>
      <c r="R53" s="10" t="s">
        <v>2</v>
      </c>
      <c r="S53" s="10">
        <v>-2</v>
      </c>
      <c r="T53" s="10"/>
      <c r="U53" s="10"/>
    </row>
    <row r="54" spans="2:21" ht="20" customHeight="1" x14ac:dyDescent="0.2">
      <c r="B54" s="21"/>
      <c r="C54" s="10" t="s">
        <v>2</v>
      </c>
      <c r="D54" s="10">
        <v>-2</v>
      </c>
      <c r="E54" s="10"/>
      <c r="F54" s="10"/>
      <c r="I54" s="21"/>
      <c r="J54" s="10" t="s">
        <v>2</v>
      </c>
      <c r="K54" s="10">
        <v>-3</v>
      </c>
      <c r="L54" s="10"/>
      <c r="M54" s="10"/>
      <c r="Q54" s="21"/>
      <c r="R54" s="10" t="s">
        <v>2</v>
      </c>
      <c r="S54" s="10">
        <v>-3</v>
      </c>
      <c r="T54" s="10"/>
      <c r="U54" s="10"/>
    </row>
    <row r="55" spans="2:21" ht="20" customHeight="1" x14ac:dyDescent="0.2">
      <c r="B55" s="21"/>
      <c r="C55" s="10" t="s">
        <v>2</v>
      </c>
      <c r="D55" s="10">
        <v>-3</v>
      </c>
      <c r="E55" s="10"/>
      <c r="F55" s="10"/>
      <c r="I55" s="21"/>
      <c r="J55" s="10" t="s">
        <v>2</v>
      </c>
      <c r="K55" s="10">
        <v>-4</v>
      </c>
      <c r="L55" s="10"/>
      <c r="M55" s="10"/>
      <c r="Q55" s="21"/>
      <c r="R55" s="10" t="s">
        <v>2</v>
      </c>
      <c r="S55" s="10">
        <v>-4</v>
      </c>
      <c r="T55" s="10"/>
      <c r="U55" s="10"/>
    </row>
    <row r="56" spans="2:21" ht="20" customHeight="1" x14ac:dyDescent="0.2">
      <c r="B56" s="21"/>
      <c r="C56" s="10" t="s">
        <v>2</v>
      </c>
      <c r="D56" s="10">
        <v>-4</v>
      </c>
      <c r="E56" s="10"/>
      <c r="F56" s="10"/>
      <c r="I56" s="21"/>
      <c r="J56" s="10" t="s">
        <v>2</v>
      </c>
      <c r="K56" s="10">
        <v>-5</v>
      </c>
      <c r="L56" s="10"/>
      <c r="M56" s="10"/>
      <c r="Q56" s="21"/>
      <c r="R56" s="10" t="s">
        <v>2</v>
      </c>
      <c r="S56" s="10">
        <v>-5</v>
      </c>
      <c r="T56" s="10"/>
      <c r="U56" s="10"/>
    </row>
    <row r="57" spans="2:21" ht="20" customHeight="1" x14ac:dyDescent="0.2">
      <c r="B57" s="21"/>
      <c r="C57" s="10" t="s">
        <v>2</v>
      </c>
      <c r="D57" s="10">
        <v>-5</v>
      </c>
      <c r="E57" s="10"/>
      <c r="F57" s="10"/>
      <c r="I57" s="21"/>
      <c r="J57" s="10" t="s">
        <v>2</v>
      </c>
      <c r="K57" s="10">
        <v>-6</v>
      </c>
      <c r="L57" s="10"/>
      <c r="M57" s="10"/>
      <c r="Q57" s="21"/>
      <c r="R57" s="10" t="s">
        <v>2</v>
      </c>
      <c r="S57" s="10">
        <v>-6</v>
      </c>
      <c r="T57" s="10"/>
      <c r="U57" s="10"/>
    </row>
    <row r="58" spans="2:21" ht="20" customHeight="1" x14ac:dyDescent="0.2">
      <c r="B58" s="21"/>
      <c r="C58" s="10" t="s">
        <v>10</v>
      </c>
      <c r="D58" s="10">
        <v>-4</v>
      </c>
      <c r="E58" s="10"/>
      <c r="F58" s="10"/>
      <c r="I58" s="21"/>
      <c r="J58" s="10" t="s">
        <v>10</v>
      </c>
      <c r="K58" s="10">
        <v>-4</v>
      </c>
      <c r="L58" s="10"/>
      <c r="M58" s="10"/>
      <c r="Q58" s="21"/>
      <c r="R58" s="10" t="s">
        <v>10</v>
      </c>
      <c r="S58" s="10">
        <v>-4</v>
      </c>
      <c r="T58" s="10"/>
      <c r="U58" s="10"/>
    </row>
    <row r="59" spans="2:21" ht="20" customHeight="1" x14ac:dyDescent="0.2">
      <c r="B59" s="21"/>
      <c r="C59" s="10" t="s">
        <v>10</v>
      </c>
      <c r="D59" s="10">
        <v>-5</v>
      </c>
      <c r="E59" s="10"/>
      <c r="F59" s="10"/>
      <c r="I59" s="21"/>
      <c r="J59" s="10" t="s">
        <v>10</v>
      </c>
      <c r="K59" s="10">
        <v>-5</v>
      </c>
      <c r="L59" s="10"/>
      <c r="M59" s="10"/>
      <c r="Q59" s="21"/>
      <c r="R59" s="10" t="s">
        <v>10</v>
      </c>
      <c r="S59" s="10">
        <v>-5</v>
      </c>
      <c r="T59" s="10"/>
      <c r="U59" s="10"/>
    </row>
    <row r="60" spans="2:21" ht="20" customHeight="1" x14ac:dyDescent="0.2">
      <c r="B60" s="21"/>
      <c r="C60" s="10" t="s">
        <v>10</v>
      </c>
      <c r="D60" s="10">
        <v>-6</v>
      </c>
      <c r="E60" s="10"/>
      <c r="F60" s="10"/>
      <c r="I60" s="21"/>
      <c r="J60" s="10" t="s">
        <v>10</v>
      </c>
      <c r="K60" s="10">
        <v>-6</v>
      </c>
      <c r="L60" s="10"/>
      <c r="M60" s="10"/>
      <c r="Q60" s="21"/>
      <c r="R60" s="10" t="s">
        <v>10</v>
      </c>
      <c r="S60" s="10">
        <v>-6</v>
      </c>
      <c r="T60" s="10"/>
      <c r="U60" s="10"/>
    </row>
    <row r="61" spans="2:21" ht="20" customHeight="1" x14ac:dyDescent="0.2">
      <c r="B61" s="21"/>
      <c r="C61" s="10" t="s">
        <v>10</v>
      </c>
      <c r="D61" s="10">
        <v>-7</v>
      </c>
      <c r="E61" s="10"/>
      <c r="F61" s="10"/>
      <c r="I61" s="21"/>
      <c r="J61" s="10" t="s">
        <v>10</v>
      </c>
      <c r="K61" s="10">
        <v>-7</v>
      </c>
      <c r="L61" s="10"/>
      <c r="M61" s="10"/>
      <c r="Q61" s="21"/>
      <c r="R61" s="10" t="s">
        <v>10</v>
      </c>
      <c r="S61" s="10">
        <v>-7</v>
      </c>
      <c r="T61" s="10"/>
      <c r="U61" s="10"/>
    </row>
    <row r="63" spans="2:21" ht="20" customHeight="1" x14ac:dyDescent="0.2">
      <c r="I63" s="21" t="s">
        <v>13</v>
      </c>
      <c r="J63" s="21"/>
      <c r="K63" s="21"/>
      <c r="L63" s="21"/>
      <c r="M63" s="21"/>
      <c r="Q63" s="21" t="s">
        <v>13</v>
      </c>
      <c r="R63" s="21"/>
      <c r="S63" s="21"/>
      <c r="T63" s="21"/>
      <c r="U63" s="21"/>
    </row>
    <row r="64" spans="2:21" ht="20" customHeight="1" x14ac:dyDescent="0.2">
      <c r="I64" s="10" t="s">
        <v>0</v>
      </c>
      <c r="J64" s="10" t="s">
        <v>1</v>
      </c>
      <c r="K64" s="10" t="s">
        <v>3</v>
      </c>
      <c r="L64" s="10" t="s">
        <v>4</v>
      </c>
      <c r="M64" s="10" t="s">
        <v>5</v>
      </c>
      <c r="Q64" s="10" t="s">
        <v>0</v>
      </c>
      <c r="R64" s="10" t="s">
        <v>1</v>
      </c>
      <c r="S64" s="10" t="s">
        <v>3</v>
      </c>
      <c r="T64" s="10" t="s">
        <v>4</v>
      </c>
      <c r="U64" s="10" t="s">
        <v>5</v>
      </c>
    </row>
    <row r="65" spans="9:21" ht="20" customHeight="1" x14ac:dyDescent="0.2">
      <c r="I65" s="21" t="str">
        <f>I41</f>
        <v>L2Q-KM vs L2P-SM</v>
      </c>
      <c r="J65" s="10" t="s">
        <v>2</v>
      </c>
      <c r="K65" s="10">
        <v>-2</v>
      </c>
      <c r="L65" s="10"/>
      <c r="M65" s="10"/>
      <c r="Q65" s="21" t="str">
        <f>Q41</f>
        <v>L2Q-KM vs L4P-SM</v>
      </c>
      <c r="R65" s="10" t="s">
        <v>2</v>
      </c>
      <c r="S65" s="10">
        <v>-2</v>
      </c>
      <c r="T65" s="10"/>
      <c r="U65" s="10"/>
    </row>
    <row r="66" spans="9:21" ht="20" customHeight="1" x14ac:dyDescent="0.2">
      <c r="I66" s="21"/>
      <c r="J66" s="10" t="s">
        <v>2</v>
      </c>
      <c r="K66" s="10">
        <v>-3</v>
      </c>
      <c r="L66" s="10"/>
      <c r="M66" s="10"/>
      <c r="Q66" s="21"/>
      <c r="R66" s="10" t="s">
        <v>2</v>
      </c>
      <c r="S66" s="10">
        <v>-3</v>
      </c>
      <c r="T66" s="10"/>
      <c r="U66" s="10"/>
    </row>
    <row r="67" spans="9:21" ht="20" customHeight="1" x14ac:dyDescent="0.2">
      <c r="I67" s="21"/>
      <c r="J67" s="10" t="s">
        <v>2</v>
      </c>
      <c r="K67" s="10">
        <v>-4</v>
      </c>
      <c r="L67" s="10"/>
      <c r="M67" s="10"/>
      <c r="Q67" s="21"/>
      <c r="R67" s="10" t="s">
        <v>2</v>
      </c>
      <c r="S67" s="10">
        <v>-4</v>
      </c>
      <c r="T67" s="10"/>
      <c r="U67" s="10"/>
    </row>
    <row r="68" spans="9:21" ht="20" customHeight="1" x14ac:dyDescent="0.2">
      <c r="I68" s="21"/>
      <c r="J68" s="10" t="s">
        <v>2</v>
      </c>
      <c r="K68" s="10">
        <v>-5</v>
      </c>
      <c r="L68" s="10"/>
      <c r="M68" s="10"/>
      <c r="Q68" s="21"/>
      <c r="R68" s="10" t="s">
        <v>2</v>
      </c>
      <c r="S68" s="10">
        <v>-5</v>
      </c>
      <c r="T68" s="10"/>
      <c r="U68" s="10"/>
    </row>
    <row r="69" spans="9:21" ht="20" customHeight="1" x14ac:dyDescent="0.2">
      <c r="I69" s="21"/>
      <c r="J69" s="10" t="s">
        <v>2</v>
      </c>
      <c r="K69" s="10">
        <v>-6</v>
      </c>
      <c r="L69" s="10"/>
      <c r="M69" s="10"/>
      <c r="Q69" s="21"/>
      <c r="R69" s="10" t="s">
        <v>2</v>
      </c>
      <c r="S69" s="10">
        <v>-6</v>
      </c>
      <c r="T69" s="10"/>
      <c r="U69" s="10"/>
    </row>
    <row r="70" spans="9:21" ht="20" customHeight="1" x14ac:dyDescent="0.2">
      <c r="I70" s="21"/>
      <c r="J70" s="10" t="s">
        <v>10</v>
      </c>
      <c r="K70" s="10">
        <v>-4</v>
      </c>
      <c r="L70" s="10"/>
      <c r="M70" s="10"/>
      <c r="Q70" s="21"/>
      <c r="R70" s="10" t="s">
        <v>10</v>
      </c>
      <c r="S70" s="10">
        <v>-4</v>
      </c>
      <c r="T70" s="10"/>
      <c r="U70" s="10"/>
    </row>
    <row r="71" spans="9:21" ht="20" customHeight="1" x14ac:dyDescent="0.2">
      <c r="I71" s="21"/>
      <c r="J71" s="10" t="s">
        <v>10</v>
      </c>
      <c r="K71" s="10">
        <v>-5</v>
      </c>
      <c r="L71" s="10"/>
      <c r="M71" s="10"/>
      <c r="Q71" s="21"/>
      <c r="R71" s="10" t="s">
        <v>10</v>
      </c>
      <c r="S71" s="10">
        <v>-5</v>
      </c>
      <c r="T71" s="10"/>
      <c r="U71" s="10"/>
    </row>
    <row r="72" spans="9:21" ht="20" customHeight="1" x14ac:dyDescent="0.2">
      <c r="I72" s="21"/>
      <c r="J72" s="10" t="s">
        <v>10</v>
      </c>
      <c r="K72" s="10">
        <v>-6</v>
      </c>
      <c r="L72" s="10"/>
      <c r="M72" s="10"/>
      <c r="Q72" s="21"/>
      <c r="R72" s="10" t="s">
        <v>10</v>
      </c>
      <c r="S72" s="10">
        <v>-6</v>
      </c>
      <c r="T72" s="10"/>
      <c r="U72" s="10"/>
    </row>
    <row r="73" spans="9:21" ht="20" customHeight="1" x14ac:dyDescent="0.2">
      <c r="I73" s="21"/>
      <c r="J73" s="10" t="s">
        <v>10</v>
      </c>
      <c r="K73" s="10">
        <v>-7</v>
      </c>
      <c r="L73" s="10"/>
      <c r="M73" s="10"/>
      <c r="Q73" s="21"/>
      <c r="R73" s="10" t="s">
        <v>10</v>
      </c>
      <c r="S73" s="10">
        <v>-7</v>
      </c>
      <c r="T73" s="10"/>
      <c r="U73" s="10"/>
    </row>
  </sheetData>
  <mergeCells count="32">
    <mergeCell ref="B2:F2"/>
    <mergeCell ref="I2:M2"/>
    <mergeCell ref="I14:M14"/>
    <mergeCell ref="I26:M26"/>
    <mergeCell ref="B4:B12"/>
    <mergeCell ref="I4:I12"/>
    <mergeCell ref="I16:I24"/>
    <mergeCell ref="I65:I73"/>
    <mergeCell ref="B14:F14"/>
    <mergeCell ref="B16:B24"/>
    <mergeCell ref="B39:F39"/>
    <mergeCell ref="B41:B49"/>
    <mergeCell ref="B51:F51"/>
    <mergeCell ref="B53:B61"/>
    <mergeCell ref="I28:I36"/>
    <mergeCell ref="I39:M39"/>
    <mergeCell ref="I41:I49"/>
    <mergeCell ref="I51:M51"/>
    <mergeCell ref="I53:I61"/>
    <mergeCell ref="I63:M63"/>
    <mergeCell ref="Q65:Q73"/>
    <mergeCell ref="Q2:U2"/>
    <mergeCell ref="Q4:Q12"/>
    <mergeCell ref="Q14:U14"/>
    <mergeCell ref="Q16:Q24"/>
    <mergeCell ref="Q26:U26"/>
    <mergeCell ref="Q28:Q36"/>
    <mergeCell ref="Q39:U39"/>
    <mergeCell ref="Q41:Q49"/>
    <mergeCell ref="Q51:U51"/>
    <mergeCell ref="Q53:Q61"/>
    <mergeCell ref="Q63:U6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CFU</vt:lpstr>
      <vt:lpstr>Graph</vt:lpstr>
      <vt:lpstr>Stats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 Wells</dc:creator>
  <cp:lastModifiedBy>Mallory Collins</cp:lastModifiedBy>
  <cp:lastPrinted>2022-08-05T16:17:07Z</cp:lastPrinted>
  <dcterms:created xsi:type="dcterms:W3CDTF">2022-07-27T18:49:47Z</dcterms:created>
  <dcterms:modified xsi:type="dcterms:W3CDTF">2026-05-04T21:06:50Z</dcterms:modified>
</cp:coreProperties>
</file>